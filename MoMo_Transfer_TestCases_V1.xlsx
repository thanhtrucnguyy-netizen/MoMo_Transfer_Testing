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socyuuuu/Desktop/MoMo_Transfer_Testing/test-cases/"/>
    </mc:Choice>
  </mc:AlternateContent>
  <xr:revisionPtr revIDLastSave="0" documentId="13_ncr:1_{787CD61F-AB35-BA48-AF8A-3D77A20DD067}" xr6:coauthVersionLast="47" xr6:coauthVersionMax="47" xr10:uidLastSave="{00000000-0000-0000-0000-000000000000}"/>
  <bookViews>
    <workbookView xWindow="0" yWindow="660" windowWidth="29400" windowHeight="17480" tabRatio="500" xr2:uid="{00000000-000D-0000-FFFF-FFFF00000000}"/>
  </bookViews>
  <sheets>
    <sheet name="Test Cases" sheetId="1" r:id="rId1"/>
    <sheet name="Test 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7" i="2" l="1"/>
  <c r="B26" i="2"/>
  <c r="B25" i="2"/>
  <c r="B24" i="2"/>
  <c r="F9" i="2"/>
  <c r="E9" i="2"/>
  <c r="D9" i="2"/>
  <c r="C9" i="2"/>
  <c r="B9" i="2"/>
  <c r="F8" i="2"/>
  <c r="E8" i="2"/>
  <c r="D8" i="2"/>
  <c r="C8" i="2"/>
  <c r="B8" i="2"/>
  <c r="F7" i="2"/>
  <c r="E7" i="2"/>
  <c r="D7" i="2"/>
  <c r="C7" i="2"/>
  <c r="B7" i="2"/>
  <c r="F6" i="2"/>
  <c r="E6" i="2"/>
  <c r="D6" i="2"/>
  <c r="C6" i="2"/>
  <c r="B6" i="2"/>
  <c r="F5" i="2"/>
  <c r="E5" i="2"/>
  <c r="D5" i="2"/>
  <c r="C5" i="2"/>
  <c r="B5" i="2"/>
  <c r="F4" i="2"/>
  <c r="E4" i="2"/>
  <c r="D4" i="2"/>
  <c r="C4" i="2"/>
  <c r="B4" i="2"/>
  <c r="F3" i="2"/>
  <c r="F10" i="2" s="1"/>
  <c r="E3" i="2"/>
  <c r="E10" i="2" s="1"/>
  <c r="D3" i="2"/>
  <c r="D10" i="2" s="1"/>
  <c r="C3" i="2"/>
  <c r="C10" i="2" s="1"/>
  <c r="B3" i="2"/>
  <c r="B10" i="2" s="1"/>
</calcChain>
</file>

<file path=xl/sharedStrings.xml><?xml version="1.0" encoding="utf-8"?>
<sst xmlns="http://schemas.openxmlformats.org/spreadsheetml/2006/main" count="769" uniqueCount="437">
  <si>
    <t>Module</t>
  </si>
  <si>
    <t>Transfer Banking</t>
  </si>
  <si>
    <t>Test requirement</t>
  </si>
  <si>
    <t>Verify the functionality and security of the Fund Transfer via Phone Number feature.</t>
  </si>
  <si>
    <t>Reference Document</t>
  </si>
  <si>
    <t>No official internal spec was available. Test cases were designed via self-exploratory testing of the live MoMo app (black-box), based on observed behavior and general fintech/e-wallet domain knowledge.</t>
  </si>
  <si>
    <t>No. Testcase</t>
  </si>
  <si>
    <t>TEST CASES – Money Transfer Feature | MoMo App</t>
  </si>
  <si>
    <t xml:space="preserve">Domain: Mobile Banking / Fintech   |   Module: Money Transfer   |   Tester: Nguyễn Ngọc Thanh Trúc   </t>
  </si>
  <si>
    <t>Test Case ID</t>
  </si>
  <si>
    <t>Feature</t>
  </si>
  <si>
    <t>Test Scenario ID</t>
  </si>
  <si>
    <t>Test Case Title</t>
  </si>
  <si>
    <t>Preconditions</t>
  </si>
  <si>
    <t>Test Steps</t>
  </si>
  <si>
    <t>Test Data</t>
  </si>
  <si>
    <t>Expected Result</t>
  </si>
  <si>
    <t>Actual Result</t>
  </si>
  <si>
    <t>Status</t>
  </si>
  <si>
    <t>Severity</t>
  </si>
  <si>
    <t>Priority</t>
  </si>
  <si>
    <t>Type</t>
  </si>
  <si>
    <t>Notes</t>
  </si>
  <si>
    <t>Execution Method</t>
  </si>
  <si>
    <t>Jira Ref</t>
  </si>
  <si>
    <t>TC_001</t>
  </si>
  <si>
    <t>Phone Number Input</t>
  </si>
  <si>
    <t>TS_TF_001</t>
  </si>
  <si>
    <t>Successful transfer to a valid registered MoMo phone number</t>
  </si>
  <si>
    <t>1. Successfully logged in to MoMo
2. Wallet has sufficient balance (≥ 10,000đ)
3. Recipient has a MoMo account</t>
  </si>
  <si>
    <t>1. Open MoMo app
2. Select "Transfer Money"
3. Enter a valid recipient phone number
4. Enter a valid amount
5. Enter a message (optional)
6. Tap "Continue"
7. Confirm PIN</t>
  </si>
  <si>
    <t>Phone: 0901234567
Amount: 50,000đ
Message: "cafe nha"</t>
  </si>
  <si>
    <t>Success screen is displayed. Wallet balance decreases by exactly 50,000đ. Transaction history is updated.</t>
  </si>
  <si>
    <t>NT</t>
  </si>
  <si>
    <t>Medium</t>
  </si>
  <si>
    <t>High</t>
  </si>
  <si>
    <t>Positive</t>
  </si>
  <si>
    <t>Happy Path</t>
  </si>
  <si>
    <t>TC_002</t>
  </si>
  <si>
    <t>TS_TF_002</t>
  </si>
  <si>
    <t>Transfer to a phone number not registered with MoMo</t>
  </si>
  <si>
    <t>1. Successfully logged in to MoMo
2. Wallet has sufficient balance</t>
  </si>
  <si>
    <t>1. Select "Transfer Money"
2. Enter a phone number not registered with MoMo
3. Tap "Continue"</t>
  </si>
  <si>
    <t>Phone: 0999999999 (no MoMo account)</t>
  </si>
  <si>
    <t>Error message displayed: "This phone number has no registered account". Cannot proceed.</t>
  </si>
  <si>
    <t>Negative</t>
  </si>
  <si>
    <t>TC_003</t>
  </si>
  <si>
    <t>TS_TF_003</t>
  </si>
  <si>
    <t>Transfer to your own phone number</t>
  </si>
  <si>
    <t>1. Successfully logged in to MoMo</t>
  </si>
  <si>
    <t>1. Select "Transfer Money"
2. Enter a phone number matching the logged-in account
3. Tap "Continue"</t>
  </si>
  <si>
    <t>Phone: the phone number of the current account</t>
  </si>
  <si>
    <t>Warning displayed: "Recipient account must be different from sender account". Cannot proceed.</t>
  </si>
  <si>
    <t>TC_004</t>
  </si>
  <si>
    <t>TS_TF_004</t>
  </si>
  <si>
    <t>Enter phone number in wrong format – fewer than 10 digits</t>
  </si>
  <si>
    <t>1. Select "Transfer Money"
2. Enter a phone number with only 9 digits
3. Observe the screen</t>
  </si>
  <si>
    <t>Phone: 090123456 (9 digits)</t>
  </si>
  <si>
    <t>Inline error displayed: "Invalid or non-existent phone number". Cannot proceed.</t>
  </si>
  <si>
    <t>Low</t>
  </si>
  <si>
    <t>TC_005</t>
  </si>
  <si>
    <t>TS_TF_005</t>
  </si>
  <si>
    <t>Enter phone number in wrong format – more than 10 digits</t>
  </si>
  <si>
    <t>1. Select "Transfer Money"
2. Enter a phone number with 11 digits
3. Observe the screen</t>
  </si>
  <si>
    <t>Phone: 09012345622 (11 digits)</t>
  </si>
  <si>
    <t>TC_006</t>
  </si>
  <si>
    <t>TS_TF_006</t>
  </si>
  <si>
    <t>Enter phone number containing special characters / letters</t>
  </si>
  <si>
    <t>1. Select "Transfer Money"
2. Try entering letters or special characters in the phone field
3. Observe the screen</t>
  </si>
  <si>
    <t>Input: "abc!@#" or "090abc123"</t>
  </si>
  <si>
    <t>TC_007</t>
  </si>
  <si>
    <t>TS_TF_007</t>
  </si>
  <si>
    <t>Leave the phone number field empty and tap Continue</t>
  </si>
  <si>
    <t>1. Select "Transfer Money"
2. Leave the phone field empty
3. Tap "Continue"</t>
  </si>
  <si>
    <t>Phone: (empty)</t>
  </si>
  <si>
    <t>The "Continue" button is disabled when the phone field is empty. No screen transition occurs.</t>
  </si>
  <si>
    <t>TC_008</t>
  </si>
  <si>
    <t>TS_TF_008</t>
  </si>
  <si>
    <t>Phone number has leading/trailing spaces or is pasted from clipboard with unusual characters</t>
  </si>
  <si>
    <t>1. Select "Transfer Money"
2. Tap the phone field, then tap "Paste"
3. Tap "Continue"</t>
  </si>
  <si>
    <t>Phone: " 0901234567@" (pasted from clipboard, contains spaces and the "@" character)</t>
  </si>
  <si>
    <t>The system automatically trims extra spaces on paste. Invalid characters ("@") are blocked from input or trigger the error "Invalid phone number". Cannot proceed with a phone number containing unusual characters. The "Continue" button is not displayed.</t>
  </si>
  <si>
    <t>TC_009</t>
  </si>
  <si>
    <t>TS_TF_009</t>
  </si>
  <si>
    <t>Select recipient from contacts / "recent recipients" - verify auto-fill works correctly</t>
  </si>
  <si>
    <t>1. Select "Transfer Money"
2. Choose from "Select recipient from contacts" / "recent recipients"
3. Tap "Continue"</t>
  </si>
  <si>
    <t>Name: Nguyễn Thị Hà - 0903827456</t>
  </si>
  <si>
    <t>The system correctly auto-fills the selected recipient's name and phone number into the transfer screen. The "Continue" button is displayed (enabled), allowing the transaction to proceed normally.</t>
  </si>
  <si>
    <t>TC_010</t>
  </si>
  <si>
    <t>TS_TF_010</t>
  </si>
  <si>
    <t>Select recipient from contacts / "recent recipients" but the account is locked/restricted - verify auto-fill behaves correctly</t>
  </si>
  <si>
    <t>1. Select "Transfer Money"
2. Choose from "Select recipient from contacts" / "recent recipients" whose account is locked/restricted
3. Tap "Continue"</t>
  </si>
  <si>
    <t>Phone: "locked phone number"</t>
  </si>
  <si>
    <t>Warning displayed: "Recipient account is locked/restricted". Cannot proceed with the transaction.</t>
  </si>
  <si>
    <t>TC_011</t>
  </si>
  <si>
    <t>TS_TF_011</t>
  </si>
  <si>
    <t>Recipient exists but the account is locked/restricted (different from TC_002, which is unregistered)</t>
  </si>
  <si>
    <t>1. Select "Transfer Money"
2. Enter a locked phone number
3. Tap "Continue"</t>
  </si>
  <si>
    <t>TC_012</t>
  </si>
  <si>
    <t>TS_TF_012</t>
  </si>
  <si>
    <t>Phone prefix does not exist in Vietnam (e.g., 090 but the remaining digits don't match any carrier logic) or the SIM is two-way blocked</t>
  </si>
  <si>
    <t>1. Select "Transfer Money"
2. Choose a phone number that doesn't exist in Vietnam
3. Tap "Continue"</t>
  </si>
  <si>
    <t>Phone: 090125678</t>
  </si>
  <si>
    <t>Inline error displayed: "Invalid or non-existent phone number".</t>
  </si>
  <si>
    <t>TC_013</t>
  </si>
  <si>
    <t>Amount Input</t>
  </si>
  <si>
    <t>TS_AM_001</t>
  </si>
  <si>
    <t>Enter a valid amount within the allowed limit</t>
  </si>
  <si>
    <t>1. Successfully logged in
2. A valid recipient has been selected
3. Wallet balance ≥ transfer amount</t>
  </si>
  <si>
    <t>1. Enter a valid recipient phone number
2. Enter an amount within the allowed range
3. Tap "Continue"</t>
  </si>
  <si>
    <t>Amount: 100,000đ (within [10,000 – 50,000,000])</t>
  </si>
  <si>
    <t>Proceeds to the transaction confirmation screen with correct information.</t>
  </si>
  <si>
    <t>TC_014</t>
  </si>
  <si>
    <t>TS_AM_002</t>
  </si>
  <si>
    <t>Enter an amount of 0</t>
  </si>
  <si>
    <t>1. Successfully logged in
2. A valid recipient has been selected</t>
  </si>
  <si>
    <t>1. Enter a valid recipient phone number
2. Enter an amount of 0
3. Tap "Continue"</t>
  </si>
  <si>
    <t>Amount: 0</t>
  </si>
  <si>
    <t>Error displayed: "Amount must be greater than 0" or "Amount must be greater than the minimum of 10,000đ", or the "Continue" button is disabled.</t>
  </si>
  <si>
    <t>TC_015</t>
  </si>
  <si>
    <t>TS_AM_003</t>
  </si>
  <si>
    <t>Enter an amount exceeding the maximum limit (Boundary Max+1)</t>
  </si>
  <si>
    <t>1. Enter recipient's phone number
2. Enter an amount exceeding the maximum limit
3. Tap "Continue"</t>
  </si>
  <si>
    <t>Amount: 50,000,001đ (Max = 50,000,000đ)</t>
  </si>
  <si>
    <t>Error displayed: "Amount exceeds transaction limit". Cannot proceed, or the "Continue" button is disabled.</t>
  </si>
  <si>
    <t>Boundary</t>
  </si>
  <si>
    <t>TC_016</t>
  </si>
  <si>
    <t>TS_AM_004</t>
  </si>
  <si>
    <t>Enter an amount exactly equal to the maximum limit (Boundary Max)</t>
  </si>
  <si>
    <t>1. Successfully logged in
2. Wallet balance ≥ 50,000,000đ</t>
  </si>
  <si>
    <t>1. Enter recipient's phone number
2. Enter an amount exactly equal to the maximum limit
3. Tap "Continue"</t>
  </si>
  <si>
    <t>Amount: 50,000,000đ</t>
  </si>
  <si>
    <t>Proceeds to confirmation screen. Transaction is accepted.</t>
  </si>
  <si>
    <t>TC_017</t>
  </si>
  <si>
    <t>TS_AM_005</t>
  </si>
  <si>
    <t>Enter an amount below the minimum limit (Boundary Min-1)</t>
  </si>
  <si>
    <t>1. Enter recipient's phone number
2. Enter an amount below the minimum
3. Tap "Continue"</t>
  </si>
  <si>
    <t>Amount: 9,999đ (Min = 10,000đ)</t>
  </si>
  <si>
    <t>Error displayed: "Minimum amount is 10,000đ". Cannot proceed, or the "Continue" button is disabled.</t>
  </si>
  <si>
    <t>TC_018</t>
  </si>
  <si>
    <t>TS_AM_006</t>
  </si>
  <si>
    <t>Transfer money when wallet balance is insufficient</t>
  </si>
  <si>
    <t>1. Successfully logged in
2. Wallet balance &lt; the amount to transfer</t>
  </si>
  <si>
    <t>1. Enter recipient's phone number
2. Enter an amount greater than the current balance
3. Tap "Continue"</t>
  </si>
  <si>
    <t>Balance: 20,000đ
Amount: 100,000đ</t>
  </si>
  <si>
    <t>Error displayed: "Insufficient wallet balance". Cannot perform the transaction, or the "Continue" button is disabled.</t>
  </si>
  <si>
    <t>Pass</t>
  </si>
  <si>
    <t>API Simulation (Postman)</t>
  </si>
  <si>
    <t>TC_019</t>
  </si>
  <si>
    <t>TS_AM_007</t>
  </si>
  <si>
    <t>Transfer an amount exactly equal to the current wallet balance</t>
  </si>
  <si>
    <t>1. Successfully logged in
2. Exact wallet balance is known</t>
  </si>
  <si>
    <t>1. Enter recipient's phone number
2. Enter an amount equal to the wallet balance
3. Confirm PIN</t>
  </si>
  <si>
    <t>Balance: 200,000đ
Amount: 200,000đ</t>
  </si>
  <si>
    <t>Transaction successful. Wallet balance after the transaction = 0đ.</t>
  </si>
  <si>
    <t>TC_020</t>
  </si>
  <si>
    <t>TS_AM_008</t>
  </si>
  <si>
    <t>Enter a number with separators like "100,000" or "100.000"</t>
  </si>
  <si>
    <t>1. Successfully logged in
2. Recipient has been selected</t>
  </si>
  <si>
    <t>1. Enter a valid recipient phone number
2. Enter an amount containing a separator (period or comma), e.g., 100.000 / 100,000</t>
  </si>
  <si>
    <t>Amount: 100,000đ</t>
  </si>
  <si>
    <t>The system does NOT allow entering "."/"," characters — they are blocked on input, or the keyboard does NOT display those characters, or the error "Invalid amount" is shown if they can still be entered.</t>
  </si>
  <si>
    <t>TC_021</t>
  </si>
  <si>
    <t>TS_AM_009</t>
  </si>
  <si>
    <t>Enter a negative number "-50000"</t>
  </si>
  <si>
    <t>1. Enter a valid recipient phone number
2. Enter an amount with a minus sign
3. Tap "Continue"</t>
  </si>
  <si>
    <t>Amount: -500,000đ</t>
  </si>
  <si>
    <t>Error displayed: "Invalid amount", or the keyboard does not display those characters. Cannot proceed.</t>
  </si>
  <si>
    <t>TC_022</t>
  </si>
  <si>
    <t>TS_AM_010</t>
  </si>
  <si>
    <t>Enter an amount with a decimal part "50000.5"</t>
  </si>
  <si>
    <t>1. Enter a valid recipient phone number
2. Enter an amount with a decimal part
3. Tap "Continue"</t>
  </si>
  <si>
    <t>Amount: 50000.5đ</t>
  </si>
  <si>
    <t>The system does NOT allow entering a decimal part (VND has no fractional unit). The "."/"," character is blocked on input, or the keyboard does NOT display those characters and only shows digits, or the error "Invalid amount" is shown if it can still be entered.</t>
  </si>
  <si>
    <t>TC_023</t>
  </si>
  <si>
    <t>Account Limit</t>
  </si>
  <si>
    <t>TS_DL_001</t>
  </si>
  <si>
    <t>Final transaction lands exactly on the daily limit</t>
  </si>
  <si>
    <t>1. Logged in with a KYC-verified account
2. Already has 15,000,000đ in transactions today</t>
  </si>
  <si>
    <t>1. Second transfer: 5,000,000đ
2. Tap "Continue"</t>
  </si>
  <si>
    <t>2nd transfer: 5,000,000đ
(Total = exactly 20,000,000đ = daily max)</t>
  </si>
  <si>
    <t>Transaction successful (boundary Max still passes).</t>
  </si>
  <si>
    <t>TC_024</t>
  </si>
  <si>
    <t>TS_DL_002</t>
  </si>
  <si>
    <t>Final transaction exceeds the daily limit by exactly 1đ</t>
  </si>
  <si>
    <t>1. Second transfer: 5,000,001đ
2. Tap "Continue"</t>
  </si>
  <si>
    <t>2nd transfer: 5,000,001đ
(Total = 20,000,001đ = Max+1)</t>
  </si>
  <si>
    <t>System displays error "Daily transaction limit exceeded". Cannot perform the transaction.</t>
  </si>
  <si>
    <t>TC_025</t>
  </si>
  <si>
    <t>TS_DL_003</t>
  </si>
  <si>
    <t>Daily limit resets correctly at the start of a new day</t>
  </si>
  <si>
    <t>1. Logged in with a KYC-verified account
2. Reached the exact daily limit (20,000,000đ) the previous day</t>
  </si>
  <si>
    <t>1. Wait for the new day (00:00)
2. Perform the transfer again
3. Tap "Continue"</t>
  </si>
  <si>
    <t>Amount: 10,000,000đ (new day)</t>
  </si>
  <si>
    <t>Transaction successful because the limit has reset; it is not carried over from the previous day.</t>
  </si>
  <si>
    <t>TC_026</t>
  </si>
  <si>
    <t>TS_DL_004</t>
  </si>
  <si>
    <t>Total of multiple transactions in a month exceeds the monthly limit (even though each day is fine)</t>
  </si>
  <si>
    <t>1. Logged in with a KYC-verified account
2. Accumulated transactions this month are close to the monthly limit</t>
  </si>
  <si>
    <t>1. Perform a new transaction, valid under the daily limit
2. Tap "Continue"</t>
  </si>
  <si>
    <t>New transaction: 15,000,000đ
(Previous monthly total: 90,000,000đ + 15M = 105M &gt; monthly max of 100,000,000đ)</t>
  </si>
  <si>
    <t>Error displayed: "Monthly transaction limit exceeded". Not allowed, even though it is valid under the daily limit.</t>
  </si>
  <si>
    <t>Critical</t>
  </si>
  <si>
    <t>TC_027</t>
  </si>
  <si>
    <t>TS_DL_005</t>
  </si>
  <si>
    <t>A failed transaction (network error) is not counted toward the daily limit</t>
  </si>
  <si>
    <t>1. Logged in with a KYC-verified account
2. Already has 1 successful transaction: 15,000,000đ</t>
  </si>
  <si>
    <t>1. Perform 2nd transaction: 5,000,000đ
2. Lose network connection mid-processing → transaction fails
3. Retry the 2nd transaction: 5,000,000đ</t>
  </si>
  <si>
    <t>Failed transaction not counted. Retry: 5,000,000đ</t>
  </si>
  <si>
    <t>Retry transaction succeeds because the actual total remains at 20,000,000đ (the earlier failed transaction was not added to the limit).</t>
  </si>
  <si>
    <t>TC_028</t>
  </si>
  <si>
    <t>TS_KYC_001</t>
  </si>
  <si>
    <t>Transfer within the allowed limit for a non-KYC account</t>
  </si>
  <si>
    <t>1. Logged in with a non-KYC account
2. Wallet has sufficient balance</t>
  </si>
  <si>
    <t>1. Select "Transfer Money"
2. Enter a valid phone number + amount
3. Tap "Continue"</t>
  </si>
  <si>
    <t>Amount: 5,000,000đ
(assuming non-KYC limit = 10,000,000đ/day)</t>
  </si>
  <si>
    <t>Transaction successful. No limit warning displayed.</t>
  </si>
  <si>
    <t>TC_029</t>
  </si>
  <si>
    <t>TS_KYC_002</t>
  </si>
  <si>
    <t>Transfer exceeding the limit of a non-KYC account</t>
  </si>
  <si>
    <t>1. Logged in with a non-KYC account
2. Wallet has sufficient balance (to rule out other causes)</t>
  </si>
  <si>
    <t>1. Select "Transfer Money"
2. Enter an amount exceeding the non-KYC limit
3. Tap "Continue"</t>
  </si>
  <si>
    <t>Amount: 15,000,000đ
(assuming limit = 10,000,000đ)</t>
  </si>
  <si>
    <t>Error displayed: "Transaction limit exceeded. Please verify your identity (KYC) to increase your limit". Cannot proceed.</t>
  </si>
  <si>
    <t>TC_030</t>
  </si>
  <si>
    <t>TS_KYC_003</t>
  </si>
  <si>
    <t>Transfer exactly equal to the maximum limit of a non-KYC account</t>
  </si>
  <si>
    <t>1. Select "Transfer Money"
2. Enter an amount equal to the non-KYC limit
3. Tap "Continue"</t>
  </si>
  <si>
    <t>Amount: 10,000,000đ (= assumed Max)</t>
  </si>
  <si>
    <t>TC_031</t>
  </si>
  <si>
    <t>TS_KYC_004</t>
  </si>
  <si>
    <t>Transfer exceeding the non-KYC account limit by 1đ</t>
  </si>
  <si>
    <t>1. Select "Transfer Money"
2. Enter an amount = Max+1
3. Tap "Continue"</t>
  </si>
  <si>
    <t>Amount: 10,000,001đ</t>
  </si>
  <si>
    <t>TC_032</t>
  </si>
  <si>
    <t>TS_KYC_005</t>
  </si>
  <si>
    <t>A KYC-verified account transfers an amount that exceeds the non-KYC limit but is still within the KYC limit</t>
  </si>
  <si>
    <t>1. Enter an amount between the two limit thresholds
2. Tap "Continue"</t>
  </si>
  <si>
    <t>Amount: 30,000,000đ
(assuming: &gt; non-KYC limit of 10M, but &lt; KYC limit of 50M)</t>
  </si>
  <si>
    <t>Transaction successful as normal. Not blocked.</t>
  </si>
  <si>
    <t>TC_033</t>
  </si>
  <si>
    <t>TS_KYC_006</t>
  </si>
  <si>
    <t>A non-KYC account is completely blocked from the transfer feature (if policy requires mandatory KYC)</t>
  </si>
  <si>
    <t>1. Logged in with a non-KYC account</t>
  </si>
  <si>
    <t>1. Go to the main screen
2. Select "Transfer Money"</t>
  </si>
  <si>
    <t>Action: tap the Transfer Money icon</t>
  </si>
  <si>
    <t>The system blocks access to the feature and displays a popup requiring KYC verification before use.</t>
  </si>
  <si>
    <t>Needs BA confirmation: does the policy fully block, or only limit the amount?</t>
  </si>
  <si>
    <t>TC_034</t>
  </si>
  <si>
    <t>PIN Confirmation</t>
  </si>
  <si>
    <t>TS_AU_001</t>
  </si>
  <si>
    <t>Confirm transaction successfully with the correct PIN</t>
  </si>
  <si>
    <t>1. Valid transfer information has been fully entered
2. Current PIN is known</t>
  </si>
  <si>
    <t>1. Complete entering transfer information
2. Tap "Continue"
3. Enter the correct 6-digit PIN</t>
  </si>
  <si>
    <t>PIN: correct</t>
  </si>
  <si>
    <t>Transaction confirmed. Proceeds to the success result screen.</t>
  </si>
  <si>
    <t>TC_035</t>
  </si>
  <si>
    <t>TS_AU_002</t>
  </si>
  <si>
    <t>Enter wrong PIN once, then enter the correct PIN</t>
  </si>
  <si>
    <t>1. Transfer information has been fully entered</t>
  </si>
  <si>
    <t>1. On the PIN entry screen
2. Enter the wrong PIN
3. Observe the error message
4. Re-enter the correct PIN</t>
  </si>
  <si>
    <t>Attempt 1: wrong PIN
Attempt 2: correct PIN</t>
  </si>
  <si>
    <t>Attempt 1: Wrong-PIN message displayed, remaining attempts decrease. Attempt 2: Transaction successful.</t>
  </si>
  <si>
    <t>TC_036</t>
  </si>
  <si>
    <t>TS_AU_003</t>
  </si>
  <si>
    <t>Enter the wrong PIN 5 times in a row → account gets locked</t>
  </si>
  <si>
    <t>1. On the PIN entry screen
2. Enter the wrong PIN 5 times in a row</t>
  </si>
  <si>
    <t>PIN: wrong × 5 times</t>
  </si>
  <si>
    <t>After the 5th attempt: Account is temporarily locked. A message and unlock instructions are displayed.</t>
  </si>
  <si>
    <t>Security</t>
  </si>
  <si>
    <t>TC_037</t>
  </si>
  <si>
    <t>TS_AU_004</t>
  </si>
  <si>
    <t>Confirm transaction using Face ID / Touch ID</t>
  </si>
  <si>
    <t>1. Device supports Face ID / Touch ID
2. Biometric authentication is enabled in MoMo</t>
  </si>
  <si>
    <t>1. Complete entering transfer information
2. Tap "Continue"
3. Confirm using Face ID / Touch ID</t>
  </si>
  <si>
    <t>Face ID / Touch ID: valid</t>
  </si>
  <si>
    <t>Transaction successfully confirmed via biometrics.</t>
  </si>
  <si>
    <t>TC_038</t>
  </si>
  <si>
    <t>TS_AU_005</t>
  </si>
  <si>
    <t>Tap Cancel on the PIN entry screen</t>
  </si>
  <si>
    <t>1. On the PIN entry screen
2. Tap the "Cancel" button or back</t>
  </si>
  <si>
    <t>Action: Cancel confirmation</t>
  </si>
  <si>
    <t>Transaction is cancelled. Returns to the previous screen. Wallet balance unchanged.</t>
  </si>
  <si>
    <t>TC_039</t>
  </si>
  <si>
    <t>TS_AU_006</t>
  </si>
  <si>
    <t>Confirmation session times out while entering PIN</t>
  </si>
  <si>
    <t>1. Go to the PIN entry screen
2. Leave the screen idle (no action) for the timeout duration</t>
  </si>
  <si>
    <t>No action for 60–120 seconds</t>
  </si>
  <si>
    <t>Session expires. Timeout message is displayed. Transaction is not performed.</t>
  </si>
  <si>
    <t>TC_040</t>
  </si>
  <si>
    <t>TS_AU_007</t>
  </si>
  <si>
    <t>Face ID/Touch ID fails → is there a fallback to PIN entry?</t>
  </si>
  <si>
    <t>1. On the PIN entry screen.
2. Cover the face; Face ID / Touch ID cannot be recognized
3. Observe the screen</t>
  </si>
  <si>
    <t>Face ID / Touch ID: invalid</t>
  </si>
  <si>
    <t>Confirmation fails because Face ID / Touch ID could not be recognized. Falls back to the PIN entry screen to continue.</t>
  </si>
  <si>
    <t>TC_041</t>
  </si>
  <si>
    <t>TS_AU_008</t>
  </si>
  <si>
    <t>1. On the PIN entry screen
2. Camera cannot recognize the face (low light/wrong angle)
3. Observe the screen</t>
  </si>
  <si>
    <t>Face ID/Touch ID: invalid</t>
  </si>
  <si>
    <t>Confirmation fails because Face ID/Touch ID could not be recognized. Falls back to the PIN entry screen to continue.</t>
  </si>
  <si>
    <t>TC_042</t>
  </si>
  <si>
    <t>TS_AU_009</t>
  </si>
  <si>
    <t>Change PIN right before confirming the transaction (can the old PIN still be used?)</t>
  </si>
  <si>
    <t>1. Transfer information has been fully entered
2. PIN changed before confirming the transaction</t>
  </si>
  <si>
    <t>1. Successfully change PIN (simulated as changed on another device)
2. Return to the transaction page
3. Observe the screen</t>
  </si>
  <si>
    <t>1. Face ID / Touch ID: invalid
2. Enter the old PIN</t>
  </si>
  <si>
    <t>Transaction fails. Inline message "Incorrect PIN" is displayed. Screen prompts to re-enter the PIN</t>
  </si>
  <si>
    <t>TC_043</t>
  </si>
  <si>
    <t>TS_AU_010</t>
  </si>
  <si>
    <t>Forget PIN mid-transfer flow → does it lead to the forgot-password flow?</t>
  </si>
  <si>
    <t>1. Tap "Forgot PIN?"
2. Observe the screen</t>
  </si>
  <si>
    <t>1. Face ID / Touch ID: invalid
2. Tap "Forgot PIN?"</t>
  </si>
  <si>
    <t>Screen displays a popup "Reset verification PIN"</t>
  </si>
  <si>
    <t>TC_044</t>
  </si>
  <si>
    <t>Transaction Result</t>
  </si>
  <si>
    <t>TS_RS_002</t>
  </si>
  <si>
    <t>Wallet balance decreases correctly after a successful transaction</t>
  </si>
  <si>
    <t>1. Wallet balance before the transaction is known</t>
  </si>
  <si>
    <t>1. Record the balance before the transaction
2. Successfully perform the transfer
3. Check the balance afterward</t>
  </si>
  <si>
    <t>Balance before: 500,000đ
Transfer amount: 100,000đ</t>
  </si>
  <si>
    <t>Balance after transaction = 400,000đ (decreased by exactly the transferred amount).</t>
  </si>
  <si>
    <t>TC_045</t>
  </si>
  <si>
    <t>TS_RS_003</t>
  </si>
  <si>
    <t>Transaction fails due to loss of network connection</t>
  </si>
  <si>
    <t>1. Already on the confirmation screen or processing</t>
  </si>
  <si>
    <t>1. Start the transfer
2. Turn off WiFi/4G midway
3. Observe the result</t>
  </si>
  <si>
    <t>Network connection: OFF midway</t>
  </si>
  <si>
    <t>Connection error message displayed. Transaction not completed. Wallet balance unchanged (or refunded if already deducted).</t>
  </si>
  <si>
    <t>TC_046</t>
  </si>
  <si>
    <t>TS_RS_004</t>
  </si>
  <si>
    <t>Transaction history updates after a successful transfer</t>
  </si>
  <si>
    <t>1. Transfer transaction was successful</t>
  </si>
  <si>
    <t>1. Perform a successful transaction
2. Go to "Transaction History"
3. Check the transaction just performed</t>
  </si>
  <si>
    <t>Transaction just transferred: 50,000đ</t>
  </si>
  <si>
    <t>Transaction appears in the history with full information: amount, recipient, time, status "Successful".</t>
  </si>
  <si>
    <t>TC_047</t>
  </si>
  <si>
    <t>TS_RS_005</t>
  </si>
  <si>
    <t>Tap "Confirm" twice in quick succession (double-tap) → does it create 2 transactions?</t>
  </si>
  <si>
    <t>1. Start the transfer
2. Tap the "Confirm" button twice in quick succession (double-tap)
3. Observe the screen</t>
  </si>
  <si>
    <t>"Amount: 50,000đ
Recipient: 0901234567"</t>
  </si>
  <si>
    <t>The system processes only 1 transaction even if "Confirm" is tapped twice in quick succession (double-tap). The "Confirm" button is disabled/hidden after the first tap, or the server rejects the duplicate request. No duplicate transaction is created; the wallet balance is deducted exactly once (50,000đ).</t>
  </si>
  <si>
    <t>Sent duplicate POST request (simulating double-tap). API processed only 1 request and returned success with a note preventing duplicate processing — matches expected result.</t>
  </si>
  <si>
    <t>SCRUM-5</t>
  </si>
  <si>
    <t>TC_048</t>
  </si>
  <si>
    <t>TS_RS_006</t>
  </si>
  <si>
    <t>Server timeout, unclear whether it succeeded or failed → how does the app display the "processing" state, and does it auto-sync afterward?</t>
  </si>
  <si>
    <t>1. Already tapped Confirm transaction 2. Waiting for a response from the server</t>
  </si>
  <si>
    <t>1. Simulate a slow server response/timeout right after sending the confirmation request. 2. Observe the screen while waiting. 3. Once the network returns, observe the final state</t>
  </si>
  <si>
    <t>Network: simulated timeout (delay &gt; X seconds)</t>
  </si>
  <si>
    <t>App clearly displays "Processing..." and prevents further taps. Once a response arrives or the app is reopened, the system auto-syncs and displays the correct actual status. It does not hang indefinitely.</t>
  </si>
  <si>
    <t>TC_049</t>
  </si>
  <si>
    <t>Transaction succeeds but the app crashes right after → does it display correctly in history when reopened?</t>
  </si>
  <si>
    <t>1. Transaction has already been successfully processed by the server</t>
  </si>
  <si>
    <t>1. Right after the server returns a successful result (before the UI can display it), force-close the app.
2. Reopen the app.
3. Check the transaction history and balance</t>
  </si>
  <si>
    <t>Action: force-close the app right after the transaction succeeds</t>
  </si>
  <si>
    <t>On reopening the app, the transaction still displays fully and accurately in the history (since it was saved on the server). Wallet balance updates correctly. No data is lost due to the client-side crash.</t>
  </si>
  <si>
    <t>TC_050</t>
  </si>
  <si>
    <t>TS_SC_001</t>
  </si>
  <si>
    <t>Transfer money when the account has not completed KYC verification</t>
  </si>
  <si>
    <t>1. MoMo account has not completed identity verification (KYC)</t>
  </si>
  <si>
    <t>1. Log in with a non-KYC account
2. Perform a transfer</t>
  </si>
  <si>
    <t>Account: non-KYC</t>
  </si>
  <si>
    <t>A message requesting identity verification is displayed. Transaction is restricted or blocked.</t>
  </si>
  <si>
    <t>TC_051</t>
  </si>
  <si>
    <t>TS_SC_002</t>
  </si>
  <si>
    <t>Transfer money with no network connection</t>
  </si>
  <si>
    <t>1. WiFi and mobile data are completely turned off</t>
  </si>
  <si>
    <t>1. Turn off network
2. Open MoMo
3. Perform a transfer</t>
  </si>
  <si>
    <t>Network: OFF</t>
  </si>
  <si>
    <t>Message "No network connection" is displayed, or the app crashes. Cannot perform the transaction.</t>
  </si>
  <si>
    <t>TC_052</t>
  </si>
  <si>
    <t>TS_SC_003</t>
  </si>
  <si>
    <t>Transfer money when the account is locked/restricted</t>
  </si>
  <si>
    <t>1. Account is currently locked or restricted from transactions</t>
  </si>
  <si>
    <t>1. Log in with a locked account
2. Perform a transfer</t>
  </si>
  <si>
    <t>Account: locked</t>
  </si>
  <si>
    <t>Message about restricted account is displayed. Transaction is not allowed.</t>
  </si>
  <si>
    <t>TC_053</t>
  </si>
  <si>
    <t>TS_SC_004</t>
  </si>
  <si>
    <t>Exit the app mid-transfer flow – verify no incorrect deduction occurs</t>
  </si>
  <si>
    <t>1. Currently in the middle of a transfer</t>
  </si>
  <si>
    <t>1. Fill in transfer information
2. On the confirmation screen, tap Home to exit the app
3. Reopen the app
4. Check the balance and history</t>
  </si>
  <si>
    <t>Action: exit the app midway</t>
  </si>
  <si>
    <t>No transaction is created. Wallet balance unchanged. No new transaction appears in the history.</t>
  </si>
  <si>
    <t>TC_054</t>
  </si>
  <si>
    <t>TS_SC_005</t>
  </si>
  <si>
    <t>Enter a message exceeding the character limit</t>
  </si>
  <si>
    <t>1. Successfully logged in
2. Recipient and a valid amount have been selected</t>
  </si>
  <si>
    <t>1. On the message entry screen
2. Enter a string longer than the limit</t>
  </si>
  <si>
    <t>Message: 500 characters (if max = 200)</t>
  </si>
  <si>
    <t>The input field limits the character count (no further input allowed), or a warning about exceeding the limit is displayed.</t>
  </si>
  <si>
    <t>TC_055</t>
  </si>
  <si>
    <t>TS_SC_006</t>
  </si>
  <si>
    <t>Log in with the same account on 2 devices, transfer money in parallel</t>
  </si>
  <si>
    <t>1. Account is logged in simultaneously on Device A and Device B - wallet balance equals exactly 1 transaction's worth</t>
  </si>
  <si>
    <t>1. Device A: starts transferring X đồng. 2. Nearly simultaneously, Device B: starts transferring X đồng (total &gt; balance) 3. Confirm both at the same time. 4. Observe the result</t>
  </si>
  <si>
    <t>Balance: 100,000đ. Device A: transfers 100,000đ. Device B: transfers 100,000đ (simultaneously)</t>
  </si>
  <si>
    <t>Only 1 of the 2 transactions succeeds; the other is rejected due to insufficient balance. The balance must not go negative or be double-deducted (double-spending).</t>
  </si>
  <si>
    <t>Sent 2 sequential transfer requests from the same balance. Second request correctly failed once balance was insufficient. Note: this simulates the scenario sequentially, not under true simultaneous load — real concurrent/race-condition behavior still needs verification, hence logged as a risk in Jira.</t>
  </si>
  <si>
    <t>API Simulation (Postman) — sequential, not true concurrency</t>
  </si>
  <si>
    <t>SCRUM-6</t>
  </si>
  <si>
    <t>TC_056</t>
  </si>
  <si>
    <t>TS_SC_007</t>
  </si>
  <si>
    <t>Log in from an unfamiliar device/IP → is additional authentication required?</t>
  </si>
  <si>
    <t>1. Account logs in from a device/IP never used before</t>
  </si>
  <si>
    <t>1. Log in from a new device/new IP (different from the usual location)
2. Perform a transfer
3. Observe whether the system requests additional authentication</t>
  </si>
  <si>
    <t>Device: unfamiliar device. IP: different from usual location</t>
  </si>
  <si>
    <t>The system detects the anomaly and requests additional authentication (SMS/email OTP or face verification) before allowing the transaction. Sends an unfamiliar-login alert to the account owner.</t>
  </si>
  <si>
    <t>TC_057</t>
  </si>
  <si>
    <t>Message</t>
  </si>
  <si>
    <t>TS_MSG_001</t>
  </si>
  <si>
    <t>Enter a message containing emoji</t>
  </si>
  <si>
    <t>1. On the confirmation screen, enter a message containing emoji
2. Tap "Continue"</t>
  </si>
  <si>
    <t>Message: "Sending money 😊💰"</t>
  </si>
  <si>
    <t>Emoji displays correctly, no font errors (mojibake/tofu boxes). Not blocked from input. Transaction proceeds normally.</t>
  </si>
  <si>
    <t>TC_058</t>
  </si>
  <si>
    <t>TS_MSG_002</t>
  </si>
  <si>
    <t>Enter a message containing injection characters</t>
  </si>
  <si>
    <t>1. Enter a message containing script/SQL injection code
2. Tap "Continue"
3. Observe the system's behavior</t>
  </si>
  <si>
    <t>Message: "&lt;script&gt;alert('test')&lt;/script&gt;" or "'; DROP TABLE transactions; --"</t>
  </si>
  <si>
    <t>The system does not execute the code. Special characters are filtered/escaped or displayed as plain text. The system does not crash.</t>
  </si>
  <si>
    <t>TC_059</t>
  </si>
  <si>
    <t>TS_MSG_003</t>
  </si>
  <si>
    <t>Leave the message empty (optional field)</t>
  </si>
  <si>
    <t>1. Enter nothing in the message field
2. Tap "Continue"</t>
  </si>
  <si>
    <t>Message: (empty)</t>
  </si>
  <si>
    <t>Transaction proceeds normally; the message is not mandatory. The transaction history does not display an unreasonable blank line.</t>
  </si>
  <si>
    <t>TEST SUMMARY – Money Transfer Feature | MoMo</t>
  </si>
  <si>
    <t>Total TCs</t>
  </si>
  <si>
    <t>TOTAL</t>
  </si>
  <si>
    <t>STATUS LEGEND</t>
  </si>
  <si>
    <t>Fail</t>
  </si>
  <si>
    <t>NT (Not Tested)</t>
  </si>
  <si>
    <t>N/A</t>
  </si>
  <si>
    <t>STATUS BREAKDOWN (from Status column)</t>
  </si>
  <si>
    <t>Count</t>
  </si>
  <si>
    <t>TS_RS_001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</si>
</sst>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charset val="1"/>
    </font>
    <font>
      <b/>
      <sz val="11"/>
      <color theme="1"/>
      <name val="Calibri"/>
      <family val="2"/>
      <charset val="1"/>
    </font>
    <font>
      <sz val="12"/>
      <color theme="1"/>
      <name val="Arial"/>
      <family val="2"/>
      <charset val="1"/>
    </font>
    <font>
      <b/>
      <sz val="12"/>
      <color theme="1"/>
      <name val="Arial"/>
      <family val="2"/>
      <charset val="1"/>
    </font>
    <font>
      <sz val="12"/>
      <color theme="1"/>
      <name val="Calibri"/>
      <family val="2"/>
      <charset val="1"/>
    </font>
    <font>
      <sz val="9"/>
      <color theme="1"/>
      <name val="Calibri"/>
      <family val="2"/>
      <charset val="1"/>
    </font>
    <font>
      <b/>
      <sz val="12"/>
      <color rgb="FFFFFFFF"/>
      <name val="Arial"/>
      <family val="2"/>
      <charset val="1"/>
    </font>
    <font>
      <sz val="14"/>
      <color theme="1"/>
      <name val="Calibri"/>
      <family val="2"/>
      <charset val="1"/>
    </font>
    <font>
      <i/>
      <sz val="12"/>
      <color rgb="FF5F5E5A"/>
      <name val="Arial"/>
      <family val="2"/>
      <charset val="1"/>
    </font>
    <font>
      <sz val="12"/>
      <color rgb="FF2C2C2A"/>
      <name val="Arial"/>
      <family val="2"/>
      <charset val="1"/>
    </font>
    <font>
      <b/>
      <sz val="12"/>
      <color rgb="FF444441"/>
      <name val="Arial"/>
      <family val="2"/>
      <charset val="1"/>
    </font>
    <font>
      <b/>
      <sz val="12"/>
      <color rgb="FF2C2C2A"/>
      <name val="Arial"/>
      <family val="2"/>
      <charset val="1"/>
    </font>
    <font>
      <b/>
      <sz val="12"/>
      <color rgb="FF27500A"/>
      <name val="Arial"/>
      <family val="2"/>
      <charset val="1"/>
    </font>
    <font>
      <b/>
      <sz val="12"/>
      <color rgb="FF791F1F"/>
      <name val="Arial"/>
      <family val="2"/>
      <charset val="1"/>
    </font>
    <font>
      <b/>
      <sz val="12"/>
      <color rgb="FF633806"/>
      <name val="Arial"/>
      <family val="2"/>
      <charset val="1"/>
    </font>
    <font>
      <sz val="12"/>
      <name val="Arial"/>
      <family val="2"/>
      <charset val="1"/>
    </font>
    <font>
      <b/>
      <sz val="12"/>
      <color rgb="FF1E7B1E"/>
      <name val="Arial"/>
      <family val="2"/>
      <charset val="1"/>
    </font>
    <font>
      <b/>
      <sz val="12"/>
      <name val="Arial"/>
      <family val="2"/>
      <charset val="1"/>
    </font>
    <font>
      <b/>
      <sz val="12"/>
      <color rgb="FF3C3489"/>
      <name val="Arial"/>
      <family val="2"/>
      <charset val="1"/>
    </font>
    <font>
      <b/>
      <sz val="12"/>
      <color rgb="FF5B2C9D"/>
      <name val="Arial"/>
      <family val="2"/>
      <charset val="1"/>
    </font>
    <font>
      <b/>
      <sz val="11"/>
      <color rgb="FFFFFFFF"/>
      <name val="Arial"/>
      <family val="2"/>
      <charset val="1"/>
    </font>
    <font>
      <sz val="10"/>
      <color rgb="FF2C2C2A"/>
      <name val="Arial"/>
      <family val="2"/>
      <charset val="1"/>
    </font>
    <font>
      <b/>
      <sz val="10"/>
      <color rgb="FFFFFFFF"/>
      <name val="Arial"/>
      <family val="2"/>
      <charset val="1"/>
    </font>
    <font>
      <b/>
      <sz val="10"/>
      <color rgb="FF444441"/>
      <name val="Arial"/>
      <family val="2"/>
      <charset val="1"/>
    </font>
    <font>
      <b/>
      <sz val="10"/>
      <color rgb="FF27500A"/>
      <name val="Arial"/>
      <family val="2"/>
      <charset val="1"/>
    </font>
    <font>
      <b/>
      <sz val="10"/>
      <color rgb="FF791F1F"/>
      <name val="Arial"/>
      <family val="2"/>
      <charset val="1"/>
    </font>
    <font>
      <b/>
      <sz val="10"/>
      <color rgb="FF3C3489"/>
      <name val="Arial"/>
      <family val="2"/>
      <charset val="1"/>
    </font>
    <font>
      <b/>
      <sz val="11"/>
      <name val="Cambria"/>
      <family val="1"/>
    </font>
    <font>
      <sz val="8"/>
      <name val="Calibri"/>
      <family val="2"/>
      <charset val="1"/>
    </font>
  </fonts>
  <fills count="27">
    <fill>
      <patternFill patternType="none"/>
    </fill>
    <fill>
      <patternFill patternType="gray125"/>
    </fill>
    <fill>
      <patternFill patternType="solid">
        <fgColor theme="0" tint="-0.249977111117893"/>
        <bgColor rgb="FFD0CEC8"/>
      </patternFill>
    </fill>
    <fill>
      <patternFill patternType="solid">
        <fgColor theme="0"/>
        <bgColor rgb="FFFAFAF8"/>
      </patternFill>
    </fill>
    <fill>
      <patternFill patternType="solid">
        <fgColor rgb="FFE91E8C"/>
        <bgColor rgb="FFFF00FF"/>
      </patternFill>
    </fill>
    <fill>
      <patternFill patternType="solid">
        <fgColor rgb="FFFFF4F0"/>
        <bgColor rgb="FFFAFAF8"/>
      </patternFill>
    </fill>
    <fill>
      <patternFill patternType="solid">
        <fgColor theme="3" tint="0.39979247413556324"/>
        <bgColor rgb="FF4F81BD"/>
      </patternFill>
    </fill>
    <fill>
      <patternFill patternType="solid">
        <fgColor theme="7" tint="0.79979857783745845"/>
        <bgColor rgb="FFE3DAF7"/>
      </patternFill>
    </fill>
    <fill>
      <patternFill patternType="solid">
        <fgColor rgb="FFEDE8D9"/>
        <bgColor rgb="FFEBF1DE"/>
      </patternFill>
    </fill>
    <fill>
      <patternFill patternType="solid">
        <fgColor rgb="FFFFC000"/>
        <bgColor rgb="FF9BBB59"/>
      </patternFill>
    </fill>
    <fill>
      <patternFill patternType="solid">
        <fgColor rgb="FFFF0000"/>
        <bgColor rgb="FFE91E8C"/>
      </patternFill>
    </fill>
    <fill>
      <patternFill patternType="solid">
        <fgColor rgb="FFEAF3DE"/>
        <bgColor rgb="FFEBF1DE"/>
      </patternFill>
    </fill>
    <fill>
      <patternFill patternType="solid">
        <fgColor rgb="FFFCEBEB"/>
        <bgColor rgb="FFFDEADA"/>
      </patternFill>
    </fill>
    <fill>
      <patternFill patternType="solid">
        <fgColor rgb="FFFAFAF8"/>
        <bgColor rgb="FFFFFFFF"/>
      </patternFill>
    </fill>
    <fill>
      <patternFill patternType="solid">
        <fgColor theme="6" tint="0.39979247413556324"/>
        <bgColor rgb="FFD0CEC8"/>
      </patternFill>
    </fill>
    <fill>
      <patternFill patternType="solid">
        <fgColor theme="4" tint="0.79979857783745845"/>
        <bgColor rgb="FFE6E0EC"/>
      </patternFill>
    </fill>
    <fill>
      <patternFill patternType="solid">
        <fgColor rgb="FFFAEEDA"/>
        <bgColor rgb="FFFDEADA"/>
      </patternFill>
    </fill>
    <fill>
      <patternFill patternType="solid">
        <fgColor theme="5" tint="0.79979857783745845"/>
        <bgColor rgb="FFE6E0EC"/>
      </patternFill>
    </fill>
    <fill>
      <patternFill patternType="solid">
        <fgColor rgb="FFD9F2D9"/>
        <bgColor rgb="FFEAF3DE"/>
      </patternFill>
    </fill>
    <fill>
      <patternFill patternType="solid">
        <fgColor theme="5" tint="0.59978026673177287"/>
        <bgColor rgb="FFD0CEC8"/>
      </patternFill>
    </fill>
    <fill>
      <patternFill patternType="solid">
        <fgColor theme="3" tint="0.79979857783745845"/>
        <bgColor rgb="FFD9D9D9"/>
      </patternFill>
    </fill>
    <fill>
      <patternFill patternType="solid">
        <fgColor rgb="FFEEEDFE"/>
        <bgColor rgb="FFFCEBEB"/>
      </patternFill>
    </fill>
    <fill>
      <patternFill patternType="solid">
        <fgColor theme="6" tint="0.79979857783745845"/>
        <bgColor rgb="FFEAF3DE"/>
      </patternFill>
    </fill>
    <fill>
      <patternFill patternType="solid">
        <fgColor theme="9" tint="0.79979857783745845"/>
        <bgColor rgb="FFFAEEDA"/>
      </patternFill>
    </fill>
    <fill>
      <patternFill patternType="solid">
        <fgColor rgb="FFE3DAF7"/>
        <bgColor rgb="FFE6E0EC"/>
      </patternFill>
    </fill>
    <fill>
      <patternFill patternType="solid">
        <fgColor rgb="FFD85A30"/>
        <bgColor rgb="FFC0504D"/>
      </patternFill>
    </fill>
    <fill>
      <patternFill patternType="solid">
        <fgColor rgb="FF5F5E5A"/>
        <bgColor rgb="FF444441"/>
      </patternFill>
    </fill>
  </fills>
  <borders count="3">
    <border>
      <left/>
      <right/>
      <top/>
      <bottom/>
      <diagonal/>
    </border>
    <border>
      <left style="thin">
        <color auto="1"/>
      </left>
      <right style="thin">
        <color auto="1"/>
      </right>
      <top style="thin">
        <color auto="1"/>
      </top>
      <bottom style="thin">
        <color auto="1"/>
      </bottom>
      <diagonal/>
    </border>
    <border>
      <left style="thin">
        <color rgb="FFD0CEC8"/>
      </left>
      <right style="thin">
        <color rgb="FFD0CEC8"/>
      </right>
      <top style="thin">
        <color rgb="FFD0CEC8"/>
      </top>
      <bottom style="thin">
        <color rgb="FFD0CEC8"/>
      </bottom>
      <diagonal/>
    </border>
  </borders>
  <cellStyleXfs count="1">
    <xf numFmtId="0" fontId="0" fillId="0" borderId="0"/>
  </cellStyleXfs>
  <cellXfs count="71">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2" fillId="2" borderId="1" xfId="0" applyFont="1" applyFill="1" applyBorder="1" applyAlignment="1">
      <alignment horizontal="left" vertical="center"/>
    </xf>
    <xf numFmtId="0" fontId="2" fillId="0" borderId="1" xfId="0" applyFont="1" applyBorder="1" applyAlignment="1">
      <alignment horizontal="lef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0" fontId="2" fillId="0" borderId="0" xfId="0" applyFont="1" applyAlignment="1">
      <alignment vertical="center" wrapText="1"/>
    </xf>
    <xf numFmtId="0" fontId="0" fillId="3" borderId="0" xfId="0" applyFill="1" applyAlignment="1">
      <alignment horizontal="center" vertical="center" wrapText="1"/>
    </xf>
    <xf numFmtId="0" fontId="7" fillId="0" borderId="0" xfId="0" applyFont="1" applyAlignment="1">
      <alignment vertical="center" wrapText="1"/>
    </xf>
    <xf numFmtId="0" fontId="5" fillId="0" borderId="0" xfId="0" applyFont="1" applyAlignment="1">
      <alignment vertical="center" wrapText="1"/>
    </xf>
    <xf numFmtId="0" fontId="3" fillId="6" borderId="1" xfId="0" applyFont="1" applyFill="1" applyBorder="1" applyAlignment="1">
      <alignment horizontal="center" vertical="center" wrapText="1"/>
    </xf>
    <xf numFmtId="0" fontId="9" fillId="7"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2" fillId="0" borderId="1" xfId="0" applyFont="1" applyBorder="1" applyAlignment="1">
      <alignment vertical="center" wrapText="1"/>
    </xf>
    <xf numFmtId="0" fontId="13" fillId="12" borderId="1" xfId="0" applyFont="1" applyFill="1" applyBorder="1" applyAlignment="1">
      <alignment horizontal="center" vertical="center" wrapText="1"/>
    </xf>
    <xf numFmtId="0" fontId="11" fillId="14" borderId="1" xfId="0" applyFont="1" applyFill="1" applyBorder="1" applyAlignment="1">
      <alignment horizontal="center" vertical="center" wrapText="1"/>
    </xf>
    <xf numFmtId="0" fontId="2" fillId="7" borderId="1" xfId="0" applyFont="1" applyFill="1" applyBorder="1" applyAlignment="1">
      <alignment vertical="center" wrapText="1"/>
    </xf>
    <xf numFmtId="0" fontId="9" fillId="15" borderId="1" xfId="0" applyFont="1" applyFill="1" applyBorder="1" applyAlignment="1">
      <alignment horizontal="left" vertical="center" wrapText="1"/>
    </xf>
    <xf numFmtId="0" fontId="14" fillId="16" borderId="1" xfId="0" applyFont="1" applyFill="1" applyBorder="1" applyAlignment="1">
      <alignment horizontal="center" vertical="center" wrapText="1"/>
    </xf>
    <xf numFmtId="0" fontId="2" fillId="15" borderId="1" xfId="0" applyFont="1" applyFill="1" applyBorder="1" applyAlignment="1">
      <alignment vertical="center" wrapText="1"/>
    </xf>
    <xf numFmtId="0" fontId="9" fillId="17" borderId="1" xfId="0" applyFont="1" applyFill="1" applyBorder="1" applyAlignment="1">
      <alignment horizontal="left" vertical="center" wrapText="1"/>
    </xf>
    <xf numFmtId="0" fontId="15" fillId="17" borderId="1" xfId="0" applyFont="1" applyFill="1" applyBorder="1" applyAlignment="1">
      <alignment horizontal="left" vertical="center" wrapText="1"/>
    </xf>
    <xf numFmtId="0" fontId="16" fillId="18"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9" fillId="19" borderId="1" xfId="0" applyFont="1" applyFill="1" applyBorder="1" applyAlignment="1">
      <alignment horizontal="left" vertical="center" wrapText="1"/>
    </xf>
    <xf numFmtId="0" fontId="15" fillId="19" borderId="1" xfId="0" applyFont="1" applyFill="1" applyBorder="1" applyAlignment="1">
      <alignment horizontal="left" vertical="center" wrapText="1"/>
    </xf>
    <xf numFmtId="0" fontId="9" fillId="20" borderId="1" xfId="0" applyFont="1" applyFill="1" applyBorder="1" applyAlignment="1">
      <alignment horizontal="left" vertical="center" wrapText="1"/>
    </xf>
    <xf numFmtId="0" fontId="18" fillId="21" borderId="1" xfId="0" applyFont="1" applyFill="1" applyBorder="1" applyAlignment="1">
      <alignment horizontal="center" vertical="center" wrapText="1"/>
    </xf>
    <xf numFmtId="0" fontId="9" fillId="22" borderId="1" xfId="0" applyFont="1" applyFill="1" applyBorder="1" applyAlignment="1">
      <alignment horizontal="left" vertical="center" wrapText="1"/>
    </xf>
    <xf numFmtId="0" fontId="9" fillId="23"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15" fillId="2" borderId="1" xfId="0" applyFont="1" applyFill="1" applyBorder="1" applyAlignment="1">
      <alignment horizontal="left" vertical="center" wrapText="1"/>
    </xf>
    <xf numFmtId="0" fontId="19" fillId="24" borderId="1" xfId="0" applyFont="1" applyFill="1" applyBorder="1" applyAlignment="1">
      <alignment horizontal="center" vertical="center" wrapText="1"/>
    </xf>
    <xf numFmtId="0" fontId="20" fillId="25" borderId="2" xfId="0" applyFont="1" applyFill="1" applyBorder="1" applyAlignment="1">
      <alignment vertical="top" wrapText="1"/>
    </xf>
    <xf numFmtId="0" fontId="21" fillId="13" borderId="2" xfId="0" applyFont="1" applyFill="1" applyBorder="1" applyAlignment="1">
      <alignment vertical="top" wrapText="1"/>
    </xf>
    <xf numFmtId="0" fontId="21" fillId="3" borderId="2" xfId="0" applyFont="1" applyFill="1" applyBorder="1" applyAlignment="1">
      <alignment vertical="top" wrapText="1"/>
    </xf>
    <xf numFmtId="0" fontId="22" fillId="26" borderId="2" xfId="0" applyFont="1" applyFill="1" applyBorder="1" applyAlignment="1">
      <alignment vertical="top" wrapText="1"/>
    </xf>
    <xf numFmtId="0" fontId="0" fillId="0" borderId="0" xfId="0" applyAlignment="1">
      <alignment vertical="top" wrapText="1"/>
    </xf>
    <xf numFmtId="0" fontId="24" fillId="11" borderId="2" xfId="0" applyFont="1" applyFill="1" applyBorder="1" applyAlignment="1">
      <alignment vertical="top" wrapText="1"/>
    </xf>
    <xf numFmtId="0" fontId="25" fillId="12" borderId="2" xfId="0" applyFont="1" applyFill="1" applyBorder="1" applyAlignment="1">
      <alignment vertical="top" wrapText="1"/>
    </xf>
    <xf numFmtId="0" fontId="23" fillId="8" borderId="2" xfId="0" applyFont="1" applyFill="1" applyBorder="1" applyAlignment="1">
      <alignment vertical="top" wrapText="1"/>
    </xf>
    <xf numFmtId="0" fontId="26" fillId="21" borderId="2" xfId="0" applyFont="1" applyFill="1" applyBorder="1" applyAlignment="1">
      <alignment vertical="top" wrapText="1"/>
    </xf>
    <xf numFmtId="0" fontId="24" fillId="0" borderId="0" xfId="0" applyFont="1" applyAlignment="1">
      <alignment vertical="top" wrapText="1"/>
    </xf>
    <xf numFmtId="0" fontId="27" fillId="0" borderId="0" xfId="0" applyFont="1" applyAlignment="1">
      <alignment vertical="top" wrapText="1"/>
    </xf>
    <xf numFmtId="0" fontId="2" fillId="3" borderId="1" xfId="0" applyFont="1" applyFill="1" applyBorder="1" applyAlignment="1">
      <alignment vertical="center" wrapText="1"/>
    </xf>
    <xf numFmtId="0" fontId="9" fillId="7" borderId="1" xfId="0" applyFont="1" applyFill="1" applyBorder="1" applyAlignment="1">
      <alignment vertical="center" wrapText="1"/>
    </xf>
    <xf numFmtId="0" fontId="9" fillId="3" borderId="1" xfId="0" applyFont="1" applyFill="1" applyBorder="1" applyAlignment="1">
      <alignment vertical="center" wrapText="1"/>
    </xf>
    <xf numFmtId="0" fontId="9" fillId="13" borderId="1" xfId="0" applyFont="1" applyFill="1" applyBorder="1" applyAlignment="1">
      <alignment vertical="center" wrapText="1"/>
    </xf>
    <xf numFmtId="0" fontId="9" fillId="15" borderId="1" xfId="0" applyFont="1" applyFill="1" applyBorder="1" applyAlignment="1">
      <alignment vertical="center" wrapText="1"/>
    </xf>
    <xf numFmtId="0" fontId="15" fillId="17" borderId="1" xfId="0" applyFont="1" applyFill="1" applyBorder="1" applyAlignment="1">
      <alignment vertical="center" wrapText="1"/>
    </xf>
    <xf numFmtId="0" fontId="15" fillId="0" borderId="1" xfId="0" applyFont="1" applyBorder="1" applyAlignment="1">
      <alignment vertical="center" wrapText="1"/>
    </xf>
    <xf numFmtId="0" fontId="15" fillId="19" borderId="1" xfId="0" applyFont="1" applyFill="1" applyBorder="1" applyAlignment="1">
      <alignment vertical="center" wrapText="1"/>
    </xf>
    <xf numFmtId="0" fontId="9" fillId="20" borderId="1" xfId="0" applyFont="1" applyFill="1" applyBorder="1" applyAlignment="1">
      <alignment vertical="center" wrapText="1"/>
    </xf>
    <xf numFmtId="0" fontId="9" fillId="22" borderId="1" xfId="0" applyFont="1" applyFill="1" applyBorder="1" applyAlignment="1">
      <alignment vertical="center" wrapText="1"/>
    </xf>
    <xf numFmtId="0" fontId="9" fillId="23" borderId="1" xfId="0" applyFont="1" applyFill="1" applyBorder="1" applyAlignment="1">
      <alignment vertical="center" wrapText="1"/>
    </xf>
    <xf numFmtId="0" fontId="2" fillId="23" borderId="1" xfId="0" applyFont="1" applyFill="1" applyBorder="1" applyAlignment="1">
      <alignment vertical="center" wrapText="1"/>
    </xf>
    <xf numFmtId="0" fontId="15" fillId="2" borderId="1" xfId="0" applyFont="1" applyFill="1" applyBorder="1" applyAlignment="1">
      <alignment vertical="center" wrapText="1"/>
    </xf>
    <xf numFmtId="0" fontId="9"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6" fillId="4" borderId="0" xfId="0" applyFont="1" applyFill="1" applyAlignment="1">
      <alignment vertical="top" wrapText="1"/>
    </xf>
    <xf numFmtId="0" fontId="23"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EDE8D9"/>
      <rgbColor rgb="FFE91E8C"/>
      <rgbColor rgb="FFFAFAF8"/>
      <rgbColor rgb="FF800000"/>
      <rgbColor rgb="FF1E7B1E"/>
      <rgbColor rgb="FF000080"/>
      <rgbColor rgb="FF5F5E5A"/>
      <rgbColor rgb="FF800080"/>
      <rgbColor rgb="FF008080"/>
      <rgbColor rgb="FFBFBFBF"/>
      <rgbColor rgb="FF4F81BD"/>
      <rgbColor rgb="FFE3DAF7"/>
      <rgbColor rgb="FFC0504D"/>
      <rgbColor rgb="FFFAEEDA"/>
      <rgbColor rgb="FFDCE6F2"/>
      <rgbColor rgb="FF5B2C9D"/>
      <rgbColor rgb="FFE6E0EC"/>
      <rgbColor rgb="FF0066CC"/>
      <rgbColor rgb="FFC6D9F1"/>
      <rgbColor rgb="FF000080"/>
      <rgbColor rgb="FFFF00FF"/>
      <rgbColor rgb="FFEBF1DE"/>
      <rgbColor rgb="FF00FFFF"/>
      <rgbColor rgb="FF800080"/>
      <rgbColor rgb="FF800000"/>
      <rgbColor rgb="FF008080"/>
      <rgbColor rgb="FF0000FF"/>
      <rgbColor rgb="FF00CCFF"/>
      <rgbColor rgb="FFEAF3DE"/>
      <rgbColor rgb="FFD9F2D9"/>
      <rgbColor rgb="FFFDEADA"/>
      <rgbColor rgb="FFD0CEC8"/>
      <rgbColor rgb="FFF2DCDB"/>
      <rgbColor rgb="FFD9D9D9"/>
      <rgbColor rgb="FFE6B9B8"/>
      <rgbColor rgb="FF558ED5"/>
      <rgbColor rgb="FFEEEDFE"/>
      <rgbColor rgb="FF9BBB59"/>
      <rgbColor rgb="FFFFC000"/>
      <rgbColor rgb="FFFCEBEB"/>
      <rgbColor rgb="FFD85A30"/>
      <rgbColor rgb="FF8064A2"/>
      <rgbColor rgb="FFC3D69B"/>
      <rgbColor rgb="FF444441"/>
      <rgbColor rgb="FFFFF4F0"/>
      <rgbColor rgb="FF003300"/>
      <rgbColor rgb="FF27500A"/>
      <rgbColor rgb="FF791F1F"/>
      <rgbColor rgb="FF633806"/>
      <rgbColor rgb="FF3C3489"/>
      <rgbColor rgb="FF2C2C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Test Execution Status Overview</a:t>
            </a:r>
          </a:p>
        </c:rich>
      </c:tx>
      <c:overlay val="0"/>
      <c:spPr>
        <a:noFill/>
        <a:ln w="0">
          <a:noFill/>
        </a:ln>
      </c:spPr>
    </c:title>
    <c:autoTitleDeleted val="0"/>
    <c:plotArea>
      <c:layout/>
      <c:pieChart>
        <c:varyColors val="1"/>
        <c:ser>
          <c:idx val="0"/>
          <c:order val="0"/>
          <c:tx>
            <c:strRef>
              <c:f>'Test Summary'!$B$23</c:f>
              <c:strCache>
                <c:ptCount val="1"/>
                <c:pt idx="0">
                  <c:v>Count</c:v>
                </c:pt>
              </c:strCache>
            </c:strRef>
          </c:tx>
          <c:spPr>
            <a:solidFill>
              <a:srgbClr val="4F81BD"/>
            </a:solidFill>
            <a:ln w="0">
              <a:noFill/>
            </a:ln>
          </c:spPr>
          <c:dPt>
            <c:idx val="0"/>
            <c:bubble3D val="0"/>
            <c:extLst>
              <c:ext xmlns:c16="http://schemas.microsoft.com/office/drawing/2014/chart" uri="{C3380CC4-5D6E-409C-BE32-E72D297353CC}">
                <c16:uniqueId val="{00000001-CBCB-F446-AE93-9D73780C1A78}"/>
              </c:ext>
            </c:extLst>
          </c:dPt>
          <c:dPt>
            <c:idx val="1"/>
            <c:bubble3D val="0"/>
            <c:spPr>
              <a:solidFill>
                <a:srgbClr val="C0504D"/>
              </a:solidFill>
              <a:ln w="0">
                <a:noFill/>
              </a:ln>
            </c:spPr>
            <c:extLst>
              <c:ext xmlns:c16="http://schemas.microsoft.com/office/drawing/2014/chart" uri="{C3380CC4-5D6E-409C-BE32-E72D297353CC}">
                <c16:uniqueId val="{00000003-CBCB-F446-AE93-9D73780C1A78}"/>
              </c:ext>
            </c:extLst>
          </c:dPt>
          <c:dPt>
            <c:idx val="2"/>
            <c:bubble3D val="0"/>
            <c:spPr>
              <a:solidFill>
                <a:srgbClr val="9BBB59"/>
              </a:solidFill>
              <a:ln w="0">
                <a:noFill/>
              </a:ln>
            </c:spPr>
            <c:extLst>
              <c:ext xmlns:c16="http://schemas.microsoft.com/office/drawing/2014/chart" uri="{C3380CC4-5D6E-409C-BE32-E72D297353CC}">
                <c16:uniqueId val="{00000005-CBCB-F446-AE93-9D73780C1A78}"/>
              </c:ext>
            </c:extLst>
          </c:dPt>
          <c:dPt>
            <c:idx val="3"/>
            <c:bubble3D val="0"/>
            <c:spPr>
              <a:solidFill>
                <a:srgbClr val="8064A2"/>
              </a:solidFill>
              <a:ln w="0">
                <a:noFill/>
              </a:ln>
            </c:spPr>
            <c:extLst>
              <c:ext xmlns:c16="http://schemas.microsoft.com/office/drawing/2014/chart" uri="{C3380CC4-5D6E-409C-BE32-E72D297353CC}">
                <c16:uniqueId val="{00000007-CBCB-F446-AE93-9D73780C1A78}"/>
              </c:ext>
            </c:extLst>
          </c:dPt>
          <c:dLbls>
            <c:dLbl>
              <c:idx val="0"/>
              <c:spPr/>
              <c:txPr>
                <a:bodyPr wrap="square"/>
                <a:lstStyle/>
                <a:p>
                  <a:pPr>
                    <a:defRPr sz="1000" b="0" strike="noStrike" spc="-1">
                      <a:solidFill>
                        <a:srgbClr val="000000"/>
                      </a:solidFill>
                      <a:latin typeface="Calibri"/>
                    </a:defRPr>
                  </a:pPr>
                  <a:endParaRPr lang="en-VN"/>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CBCB-F446-AE93-9D73780C1A78}"/>
                </c:ext>
              </c:extLst>
            </c:dLbl>
            <c:dLbl>
              <c:idx val="1"/>
              <c:layout>
                <c:manualLayout>
                  <c:x val="8.719521154760361E-2"/>
                  <c:y val="0.14525620454687532"/>
                </c:manualLayout>
              </c:layout>
              <c:spPr/>
              <c:txPr>
                <a:bodyPr wrap="square"/>
                <a:lstStyle/>
                <a:p>
                  <a:pPr>
                    <a:defRPr sz="1000" b="0" strike="noStrike" spc="-1">
                      <a:solidFill>
                        <a:srgbClr val="000000"/>
                      </a:solidFill>
                      <a:latin typeface="Calibri"/>
                    </a:defRPr>
                  </a:pPr>
                  <a:endParaRPr lang="en-VN"/>
                </a:p>
              </c:txPr>
              <c:dLblPos val="bestFit"/>
              <c:showLegendKey val="1"/>
              <c:showVal val="1"/>
              <c:showCatName val="1"/>
              <c:showSerName val="1"/>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3-CBCB-F446-AE93-9D73780C1A78}"/>
                </c:ext>
              </c:extLst>
            </c:dLbl>
            <c:dLbl>
              <c:idx val="2"/>
              <c:spPr/>
              <c:txPr>
                <a:bodyPr wrap="square"/>
                <a:lstStyle/>
                <a:p>
                  <a:pPr>
                    <a:defRPr sz="1000" b="0" strike="noStrike" spc="-1">
                      <a:solidFill>
                        <a:srgbClr val="000000"/>
                      </a:solidFill>
                      <a:latin typeface="Calibri"/>
                    </a:defRPr>
                  </a:pPr>
                  <a:endParaRPr lang="en-VN"/>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CBCB-F446-AE93-9D73780C1A78}"/>
                </c:ext>
              </c:extLst>
            </c:dLbl>
            <c:dLbl>
              <c:idx val="3"/>
              <c:spPr/>
              <c:txPr>
                <a:bodyPr wrap="square"/>
                <a:lstStyle/>
                <a:p>
                  <a:pPr>
                    <a:defRPr sz="1000" b="0" strike="noStrike" spc="-1">
                      <a:solidFill>
                        <a:srgbClr val="000000"/>
                      </a:solidFill>
                      <a:latin typeface="Calibri"/>
                    </a:defRPr>
                  </a:pPr>
                  <a:endParaRPr lang="en-VN"/>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CBCB-F446-AE93-9D73780C1A78}"/>
                </c:ext>
              </c:extLst>
            </c:dLbl>
            <c:spPr>
              <a:noFill/>
              <a:ln>
                <a:noFill/>
              </a:ln>
              <a:effectLst/>
            </c:spPr>
            <c:txPr>
              <a:bodyPr wrap="square"/>
              <a:lstStyle/>
              <a:p>
                <a:pPr>
                  <a:defRPr sz="1000" b="0" strike="noStrike" spc="-1">
                    <a:solidFill>
                      <a:srgbClr val="000000"/>
                    </a:solidFill>
                    <a:latin typeface="Calibri"/>
                  </a:defRPr>
                </a:pPr>
                <a:endParaRPr lang="en-VN"/>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'Test Summary'!$A$24:$A$27</c:f>
              <c:strCache>
                <c:ptCount val="4"/>
                <c:pt idx="0">
                  <c:v>Pass</c:v>
                </c:pt>
                <c:pt idx="1">
                  <c:v>Fail</c:v>
                </c:pt>
                <c:pt idx="2">
                  <c:v>NT</c:v>
                </c:pt>
                <c:pt idx="3">
                  <c:v>N/A</c:v>
                </c:pt>
              </c:strCache>
            </c:strRef>
          </c:cat>
          <c:val>
            <c:numRef>
              <c:f>'Test Summary'!$B$24:$B$27</c:f>
              <c:numCache>
                <c:formatCode>General</c:formatCode>
                <c:ptCount val="4"/>
                <c:pt idx="0">
                  <c:v>2</c:v>
                </c:pt>
                <c:pt idx="1">
                  <c:v>0</c:v>
                </c:pt>
                <c:pt idx="2">
                  <c:v>57</c:v>
                </c:pt>
                <c:pt idx="3">
                  <c:v>0</c:v>
                </c:pt>
              </c:numCache>
            </c:numRef>
          </c:val>
          <c:extLst>
            <c:ext xmlns:c16="http://schemas.microsoft.com/office/drawing/2014/chart" uri="{C3380CC4-5D6E-409C-BE32-E72D297353CC}">
              <c16:uniqueId val="{00000008-CBCB-F446-AE93-9D73780C1A78}"/>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V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17</xdr:row>
      <xdr:rowOff>138960</xdr:rowOff>
    </xdr:from>
    <xdr:to>
      <xdr:col>6</xdr:col>
      <xdr:colOff>513000</xdr:colOff>
      <xdr:row>18</xdr:row>
      <xdr:rowOff>2827800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6"/>
  <sheetViews>
    <sheetView tabSelected="1" zoomScaleNormal="100" workbookViewId="0">
      <pane xSplit="1" ySplit="3" topLeftCell="B4" activePane="bottomRight" state="frozen"/>
      <selection pane="topRight" activeCell="B1" sqref="B1"/>
      <selection pane="bottomLeft" activeCell="A4" sqref="A4"/>
      <selection pane="bottomRight" activeCell="F51" sqref="F51"/>
    </sheetView>
  </sheetViews>
  <sheetFormatPr baseColWidth="10" defaultColWidth="12" defaultRowHeight="15" x14ac:dyDescent="0.2"/>
  <cols>
    <col min="1" max="1" width="18.6640625" style="1" customWidth="1"/>
    <col min="2" max="2" width="23.5" style="1" customWidth="1"/>
    <col min="3" max="3" width="16" style="1" customWidth="1"/>
    <col min="4" max="4" width="35" style="1" customWidth="1"/>
    <col min="5" max="5" width="30" style="1" customWidth="1"/>
    <col min="6" max="6" width="45" style="1" customWidth="1"/>
    <col min="7" max="7" width="28" style="1" customWidth="1"/>
    <col min="8" max="8" width="40" style="1" customWidth="1"/>
    <col min="9" max="9" width="25" style="1" customWidth="1"/>
    <col min="10" max="10" width="10" style="2" customWidth="1"/>
    <col min="11" max="11" width="11" style="2" customWidth="1"/>
    <col min="12" max="12" width="10" style="2" customWidth="1"/>
    <col min="13" max="13" width="12" style="3"/>
    <col min="14" max="14" width="22" style="3" customWidth="1"/>
    <col min="15" max="15" width="24" style="1" customWidth="1"/>
    <col min="16" max="16384" width="12" style="1"/>
  </cols>
  <sheetData>
    <row r="1" spans="1:16" s="8" customFormat="1" ht="36.75" customHeight="1" x14ac:dyDescent="0.2">
      <c r="A1" s="4" t="s">
        <v>0</v>
      </c>
      <c r="B1" s="5" t="s">
        <v>1</v>
      </c>
      <c r="C1" s="6"/>
      <c r="D1" s="6"/>
      <c r="E1" s="6"/>
      <c r="F1" s="6"/>
      <c r="G1" s="6"/>
      <c r="H1" s="6"/>
      <c r="I1" s="6"/>
      <c r="J1" s="7"/>
      <c r="K1" s="7"/>
      <c r="L1" s="7"/>
      <c r="M1" s="6"/>
      <c r="N1" s="6"/>
      <c r="O1" s="6"/>
      <c r="P1" s="6"/>
    </row>
    <row r="2" spans="1:16" s="9" customFormat="1" ht="67.5" customHeight="1" x14ac:dyDescent="0.2">
      <c r="A2" s="4" t="s">
        <v>2</v>
      </c>
      <c r="B2" s="5" t="s">
        <v>3</v>
      </c>
      <c r="C2" s="6"/>
      <c r="D2" s="6"/>
      <c r="E2" s="6"/>
      <c r="F2" s="6"/>
      <c r="G2" s="6"/>
      <c r="H2" s="6"/>
      <c r="I2" s="6"/>
      <c r="J2" s="7"/>
      <c r="K2" s="7"/>
      <c r="L2" s="7"/>
      <c r="M2" s="6"/>
      <c r="N2" s="6"/>
      <c r="O2" s="6"/>
      <c r="P2" s="6"/>
    </row>
    <row r="3" spans="1:16" s="13" customFormat="1" ht="46.5" customHeight="1" x14ac:dyDescent="0.2">
      <c r="A3" s="4" t="s">
        <v>4</v>
      </c>
      <c r="B3" s="53" t="s">
        <v>5</v>
      </c>
      <c r="C3" s="10"/>
      <c r="D3" s="10"/>
      <c r="E3" s="10"/>
      <c r="F3" s="10"/>
      <c r="G3" s="10"/>
      <c r="H3" s="10"/>
      <c r="I3" s="10"/>
      <c r="J3" s="11"/>
      <c r="K3" s="11"/>
      <c r="L3" s="11"/>
      <c r="M3" s="10"/>
      <c r="N3" s="10"/>
      <c r="O3" s="12"/>
      <c r="P3" s="10"/>
    </row>
    <row r="4" spans="1:16" ht="40.5" customHeight="1" x14ac:dyDescent="0.2">
      <c r="A4" s="4" t="s">
        <v>6</v>
      </c>
      <c r="B4" s="5">
        <v>59</v>
      </c>
      <c r="C4" s="12"/>
      <c r="D4" s="12"/>
      <c r="E4" s="12"/>
      <c r="F4" s="12"/>
      <c r="G4" s="12"/>
      <c r="H4" s="12"/>
      <c r="I4" s="12"/>
      <c r="J4" s="7"/>
      <c r="K4" s="7"/>
      <c r="L4" s="7"/>
      <c r="M4" s="6"/>
      <c r="N4" s="6"/>
      <c r="O4" s="12"/>
      <c r="P4" s="12"/>
    </row>
    <row r="5" spans="1:16" s="14" customFormat="1" ht="30.75" customHeight="1" x14ac:dyDescent="0.2">
      <c r="A5" s="67" t="s">
        <v>7</v>
      </c>
      <c r="B5" s="67"/>
      <c r="C5" s="67"/>
      <c r="D5" s="67"/>
      <c r="E5" s="67"/>
      <c r="F5" s="67"/>
      <c r="G5" s="67"/>
      <c r="H5" s="67"/>
      <c r="I5" s="67"/>
      <c r="J5" s="67"/>
      <c r="K5" s="67"/>
      <c r="L5" s="67"/>
      <c r="M5" s="67"/>
      <c r="N5" s="67"/>
      <c r="O5" s="12"/>
      <c r="P5" s="12"/>
    </row>
    <row r="6" spans="1:16" s="15" customFormat="1" ht="21" customHeight="1" x14ac:dyDescent="0.2">
      <c r="A6" s="68" t="s">
        <v>8</v>
      </c>
      <c r="B6" s="68"/>
      <c r="C6" s="68"/>
      <c r="D6" s="68"/>
      <c r="E6" s="68"/>
      <c r="F6" s="68"/>
      <c r="G6" s="68"/>
      <c r="H6" s="68"/>
      <c r="I6" s="68"/>
      <c r="J6" s="68"/>
      <c r="K6" s="68"/>
      <c r="L6" s="68"/>
      <c r="M6" s="68"/>
      <c r="N6" s="68"/>
      <c r="O6" s="12"/>
      <c r="P6" s="12"/>
    </row>
    <row r="7" spans="1:16" ht="69.75" customHeight="1" x14ac:dyDescent="0.2">
      <c r="A7" s="16" t="s">
        <v>9</v>
      </c>
      <c r="B7" s="16" t="s">
        <v>10</v>
      </c>
      <c r="C7" s="16" t="s">
        <v>11</v>
      </c>
      <c r="D7" s="16" t="s">
        <v>12</v>
      </c>
      <c r="E7" s="16" t="s">
        <v>13</v>
      </c>
      <c r="F7" s="16" t="s">
        <v>14</v>
      </c>
      <c r="G7" s="16" t="s">
        <v>15</v>
      </c>
      <c r="H7" s="16" t="s">
        <v>16</v>
      </c>
      <c r="I7" s="16" t="s">
        <v>17</v>
      </c>
      <c r="J7" s="16" t="s">
        <v>18</v>
      </c>
      <c r="K7" s="16" t="s">
        <v>19</v>
      </c>
      <c r="L7" s="16" t="s">
        <v>20</v>
      </c>
      <c r="M7" s="16" t="s">
        <v>21</v>
      </c>
      <c r="N7" s="16" t="s">
        <v>22</v>
      </c>
      <c r="O7" s="16" t="s">
        <v>23</v>
      </c>
      <c r="P7" s="16" t="s">
        <v>24</v>
      </c>
    </row>
    <row r="8" spans="1:16" ht="96" customHeight="1" x14ac:dyDescent="0.2">
      <c r="A8" s="17" t="s">
        <v>25</v>
      </c>
      <c r="B8" s="17" t="s">
        <v>26</v>
      </c>
      <c r="C8" s="17" t="s">
        <v>27</v>
      </c>
      <c r="D8" s="54" t="s">
        <v>28</v>
      </c>
      <c r="E8" s="54" t="s">
        <v>29</v>
      </c>
      <c r="F8" s="54" t="s">
        <v>30</v>
      </c>
      <c r="G8" s="54" t="s">
        <v>31</v>
      </c>
      <c r="H8" s="54" t="s">
        <v>32</v>
      </c>
      <c r="I8" s="54"/>
      <c r="J8" s="18" t="s">
        <v>33</v>
      </c>
      <c r="K8" s="19" t="s">
        <v>34</v>
      </c>
      <c r="L8" s="20" t="s">
        <v>35</v>
      </c>
      <c r="M8" s="21" t="s">
        <v>36</v>
      </c>
      <c r="N8" s="66" t="s">
        <v>37</v>
      </c>
      <c r="O8" s="22"/>
      <c r="P8" s="22"/>
    </row>
    <row r="9" spans="1:16" ht="69.75" customHeight="1" x14ac:dyDescent="0.2">
      <c r="A9" s="17" t="s">
        <v>38</v>
      </c>
      <c r="B9" s="17" t="s">
        <v>26</v>
      </c>
      <c r="C9" s="17" t="s">
        <v>39</v>
      </c>
      <c r="D9" s="54" t="s">
        <v>40</v>
      </c>
      <c r="E9" s="54" t="s">
        <v>41</v>
      </c>
      <c r="F9" s="54" t="s">
        <v>42</v>
      </c>
      <c r="G9" s="54" t="s">
        <v>43</v>
      </c>
      <c r="H9" s="54" t="s">
        <v>44</v>
      </c>
      <c r="I9" s="54"/>
      <c r="J9" s="18" t="s">
        <v>33</v>
      </c>
      <c r="K9" s="19" t="s">
        <v>34</v>
      </c>
      <c r="L9" s="20" t="s">
        <v>35</v>
      </c>
      <c r="M9" s="23" t="s">
        <v>45</v>
      </c>
      <c r="N9" s="56"/>
      <c r="O9" s="22"/>
      <c r="P9" s="22"/>
    </row>
    <row r="10" spans="1:16" ht="68" customHeight="1" x14ac:dyDescent="0.2">
      <c r="A10" s="17" t="s">
        <v>46</v>
      </c>
      <c r="B10" s="17" t="s">
        <v>26</v>
      </c>
      <c r="C10" s="17" t="s">
        <v>47</v>
      </c>
      <c r="D10" s="54" t="s">
        <v>48</v>
      </c>
      <c r="E10" s="54" t="s">
        <v>49</v>
      </c>
      <c r="F10" s="54" t="s">
        <v>50</v>
      </c>
      <c r="G10" s="54" t="s">
        <v>51</v>
      </c>
      <c r="H10" s="54" t="s">
        <v>52</v>
      </c>
      <c r="I10" s="54"/>
      <c r="J10" s="18" t="s">
        <v>33</v>
      </c>
      <c r="K10" s="20" t="s">
        <v>35</v>
      </c>
      <c r="L10" s="20" t="s">
        <v>35</v>
      </c>
      <c r="M10" s="23" t="s">
        <v>45</v>
      </c>
      <c r="N10" s="55"/>
      <c r="O10" s="22"/>
      <c r="P10" s="22"/>
    </row>
    <row r="11" spans="1:16" ht="78.75" customHeight="1" x14ac:dyDescent="0.2">
      <c r="A11" s="17" t="s">
        <v>53</v>
      </c>
      <c r="B11" s="17" t="s">
        <v>26</v>
      </c>
      <c r="C11" s="17" t="s">
        <v>54</v>
      </c>
      <c r="D11" s="54" t="s">
        <v>55</v>
      </c>
      <c r="E11" s="54" t="s">
        <v>49</v>
      </c>
      <c r="F11" s="54" t="s">
        <v>56</v>
      </c>
      <c r="G11" s="54" t="s">
        <v>57</v>
      </c>
      <c r="H11" s="25" t="s">
        <v>58</v>
      </c>
      <c r="I11" s="54"/>
      <c r="J11" s="18" t="s">
        <v>33</v>
      </c>
      <c r="K11" s="24" t="s">
        <v>59</v>
      </c>
      <c r="L11" s="19" t="s">
        <v>34</v>
      </c>
      <c r="M11" s="23" t="s">
        <v>45</v>
      </c>
      <c r="N11" s="56"/>
      <c r="O11" s="22"/>
      <c r="P11" s="22"/>
    </row>
    <row r="12" spans="1:16" ht="78.75" customHeight="1" x14ac:dyDescent="0.2">
      <c r="A12" s="17" t="s">
        <v>60</v>
      </c>
      <c r="B12" s="17" t="s">
        <v>26</v>
      </c>
      <c r="C12" s="17" t="s">
        <v>61</v>
      </c>
      <c r="D12" s="54" t="s">
        <v>62</v>
      </c>
      <c r="E12" s="54" t="s">
        <v>49</v>
      </c>
      <c r="F12" s="54" t="s">
        <v>63</v>
      </c>
      <c r="G12" s="54" t="s">
        <v>64</v>
      </c>
      <c r="H12" s="25" t="s">
        <v>58</v>
      </c>
      <c r="I12" s="54"/>
      <c r="J12" s="18" t="s">
        <v>33</v>
      </c>
      <c r="K12" s="24" t="s">
        <v>59</v>
      </c>
      <c r="L12" s="19" t="s">
        <v>34</v>
      </c>
      <c r="M12" s="23" t="s">
        <v>45</v>
      </c>
      <c r="N12" s="56"/>
      <c r="O12" s="22"/>
      <c r="P12" s="22"/>
    </row>
    <row r="13" spans="1:16" ht="72" customHeight="1" x14ac:dyDescent="0.2">
      <c r="A13" s="17" t="s">
        <v>65</v>
      </c>
      <c r="B13" s="17" t="s">
        <v>26</v>
      </c>
      <c r="C13" s="17" t="s">
        <v>66</v>
      </c>
      <c r="D13" s="54" t="s">
        <v>67</v>
      </c>
      <c r="E13" s="54" t="s">
        <v>49</v>
      </c>
      <c r="F13" s="54" t="s">
        <v>68</v>
      </c>
      <c r="G13" s="54" t="s">
        <v>69</v>
      </c>
      <c r="H13" s="25" t="s">
        <v>58</v>
      </c>
      <c r="I13" s="54"/>
      <c r="J13" s="18" t="s">
        <v>33</v>
      </c>
      <c r="K13" s="24" t="s">
        <v>59</v>
      </c>
      <c r="L13" s="19" t="s">
        <v>34</v>
      </c>
      <c r="M13" s="23" t="s">
        <v>45</v>
      </c>
      <c r="N13" s="55"/>
      <c r="O13" s="22"/>
      <c r="P13" s="22"/>
    </row>
    <row r="14" spans="1:16" ht="60" customHeight="1" x14ac:dyDescent="0.2">
      <c r="A14" s="17" t="s">
        <v>70</v>
      </c>
      <c r="B14" s="17" t="s">
        <v>26</v>
      </c>
      <c r="C14" s="17" t="s">
        <v>71</v>
      </c>
      <c r="D14" s="54" t="s">
        <v>72</v>
      </c>
      <c r="E14" s="54" t="s">
        <v>49</v>
      </c>
      <c r="F14" s="54" t="s">
        <v>73</v>
      </c>
      <c r="G14" s="54" t="s">
        <v>74</v>
      </c>
      <c r="H14" s="54" t="s">
        <v>75</v>
      </c>
      <c r="I14" s="54"/>
      <c r="J14" s="18" t="s">
        <v>33</v>
      </c>
      <c r="K14" s="19" t="s">
        <v>34</v>
      </c>
      <c r="L14" s="20" t="s">
        <v>35</v>
      </c>
      <c r="M14" s="23" t="s">
        <v>45</v>
      </c>
      <c r="N14" s="56"/>
      <c r="O14" s="22"/>
      <c r="P14" s="22"/>
    </row>
    <row r="15" spans="1:16" ht="76.5" customHeight="1" x14ac:dyDescent="0.2">
      <c r="A15" s="17" t="s">
        <v>76</v>
      </c>
      <c r="B15" s="25" t="s">
        <v>26</v>
      </c>
      <c r="C15" s="17" t="s">
        <v>77</v>
      </c>
      <c r="D15" s="25" t="s">
        <v>78</v>
      </c>
      <c r="E15" s="54" t="s">
        <v>49</v>
      </c>
      <c r="F15" s="25" t="s">
        <v>79</v>
      </c>
      <c r="G15" s="25" t="s">
        <v>80</v>
      </c>
      <c r="H15" s="25" t="s">
        <v>81</v>
      </c>
      <c r="I15" s="25"/>
      <c r="J15" s="18" t="s">
        <v>33</v>
      </c>
      <c r="K15" s="19" t="s">
        <v>34</v>
      </c>
      <c r="L15" s="19" t="s">
        <v>34</v>
      </c>
      <c r="M15" s="23" t="s">
        <v>45</v>
      </c>
      <c r="N15" s="22"/>
      <c r="O15" s="22"/>
      <c r="P15" s="22"/>
    </row>
    <row r="16" spans="1:16" ht="69.75" customHeight="1" x14ac:dyDescent="0.2">
      <c r="A16" s="17" t="s">
        <v>82</v>
      </c>
      <c r="B16" s="25" t="s">
        <v>26</v>
      </c>
      <c r="C16" s="17" t="s">
        <v>83</v>
      </c>
      <c r="D16" s="25" t="s">
        <v>84</v>
      </c>
      <c r="E16" s="54" t="s">
        <v>49</v>
      </c>
      <c r="F16" s="25" t="s">
        <v>85</v>
      </c>
      <c r="G16" s="25" t="s">
        <v>86</v>
      </c>
      <c r="H16" s="25" t="s">
        <v>87</v>
      </c>
      <c r="I16" s="25"/>
      <c r="J16" s="18" t="s">
        <v>33</v>
      </c>
      <c r="K16" s="19" t="s">
        <v>34</v>
      </c>
      <c r="L16" s="19" t="s">
        <v>34</v>
      </c>
      <c r="M16" s="21" t="s">
        <v>36</v>
      </c>
      <c r="N16" s="22"/>
      <c r="O16" s="22"/>
      <c r="P16" s="22"/>
    </row>
    <row r="17" spans="1:16" ht="83" customHeight="1" x14ac:dyDescent="0.2">
      <c r="A17" s="17" t="s">
        <v>88</v>
      </c>
      <c r="B17" s="25" t="s">
        <v>26</v>
      </c>
      <c r="C17" s="17" t="s">
        <v>89</v>
      </c>
      <c r="D17" s="25" t="s">
        <v>90</v>
      </c>
      <c r="E17" s="54" t="s">
        <v>49</v>
      </c>
      <c r="F17" s="25" t="s">
        <v>91</v>
      </c>
      <c r="G17" s="25" t="s">
        <v>92</v>
      </c>
      <c r="H17" s="25" t="s">
        <v>93</v>
      </c>
      <c r="I17" s="25"/>
      <c r="J17" s="18" t="s">
        <v>33</v>
      </c>
      <c r="K17" s="19" t="s">
        <v>34</v>
      </c>
      <c r="L17" s="19" t="s">
        <v>34</v>
      </c>
      <c r="M17" s="23" t="s">
        <v>45</v>
      </c>
      <c r="N17" s="22"/>
      <c r="O17" s="22"/>
      <c r="P17" s="22"/>
    </row>
    <row r="18" spans="1:16" ht="69.75" customHeight="1" x14ac:dyDescent="0.2">
      <c r="A18" s="17" t="s">
        <v>94</v>
      </c>
      <c r="B18" s="25" t="s">
        <v>26</v>
      </c>
      <c r="C18" s="17" t="s">
        <v>95</v>
      </c>
      <c r="D18" s="25" t="s">
        <v>96</v>
      </c>
      <c r="E18" s="54" t="s">
        <v>49</v>
      </c>
      <c r="F18" s="25" t="s">
        <v>97</v>
      </c>
      <c r="G18" s="25" t="s">
        <v>92</v>
      </c>
      <c r="H18" s="25" t="s">
        <v>93</v>
      </c>
      <c r="I18" s="25"/>
      <c r="J18" s="18" t="s">
        <v>33</v>
      </c>
      <c r="K18" s="19" t="s">
        <v>34</v>
      </c>
      <c r="L18" s="20" t="s">
        <v>35</v>
      </c>
      <c r="M18" s="23" t="s">
        <v>45</v>
      </c>
      <c r="N18" s="22"/>
      <c r="O18" s="22"/>
      <c r="P18" s="22"/>
    </row>
    <row r="19" spans="1:16" ht="69.75" customHeight="1" x14ac:dyDescent="0.2">
      <c r="A19" s="17" t="s">
        <v>98</v>
      </c>
      <c r="B19" s="25" t="s">
        <v>26</v>
      </c>
      <c r="C19" s="17" t="s">
        <v>99</v>
      </c>
      <c r="D19" s="25" t="s">
        <v>100</v>
      </c>
      <c r="E19" s="54" t="s">
        <v>49</v>
      </c>
      <c r="F19" s="25" t="s">
        <v>101</v>
      </c>
      <c r="G19" s="25" t="s">
        <v>102</v>
      </c>
      <c r="H19" s="25" t="s">
        <v>103</v>
      </c>
      <c r="I19" s="25"/>
      <c r="J19" s="18" t="s">
        <v>33</v>
      </c>
      <c r="K19" s="24" t="s">
        <v>59</v>
      </c>
      <c r="L19" s="19" t="s">
        <v>34</v>
      </c>
      <c r="M19" s="23" t="s">
        <v>45</v>
      </c>
      <c r="N19" s="22"/>
      <c r="O19" s="22"/>
      <c r="P19" s="22"/>
    </row>
    <row r="20" spans="1:16" ht="69.75" customHeight="1" x14ac:dyDescent="0.2">
      <c r="A20" s="26" t="s">
        <v>104</v>
      </c>
      <c r="B20" s="26" t="s">
        <v>105</v>
      </c>
      <c r="C20" s="26" t="s">
        <v>106</v>
      </c>
      <c r="D20" s="57" t="s">
        <v>107</v>
      </c>
      <c r="E20" s="57" t="s">
        <v>108</v>
      </c>
      <c r="F20" s="57" t="s">
        <v>109</v>
      </c>
      <c r="G20" s="57" t="s">
        <v>110</v>
      </c>
      <c r="H20" s="57" t="s">
        <v>111</v>
      </c>
      <c r="I20" s="57"/>
      <c r="J20" s="18" t="s">
        <v>33</v>
      </c>
      <c r="K20" s="19" t="s">
        <v>34</v>
      </c>
      <c r="L20" s="20" t="s">
        <v>35</v>
      </c>
      <c r="M20" s="21" t="s">
        <v>36</v>
      </c>
      <c r="N20" s="55"/>
      <c r="O20" s="22"/>
      <c r="P20" s="22"/>
    </row>
    <row r="21" spans="1:16" ht="69.75" customHeight="1" x14ac:dyDescent="0.2">
      <c r="A21" s="26" t="s">
        <v>112</v>
      </c>
      <c r="B21" s="26" t="s">
        <v>105</v>
      </c>
      <c r="C21" s="26" t="s">
        <v>113</v>
      </c>
      <c r="D21" s="57" t="s">
        <v>114</v>
      </c>
      <c r="E21" s="57" t="s">
        <v>115</v>
      </c>
      <c r="F21" s="57" t="s">
        <v>116</v>
      </c>
      <c r="G21" s="57" t="s">
        <v>117</v>
      </c>
      <c r="H21" s="57" t="s">
        <v>118</v>
      </c>
      <c r="I21" s="57"/>
      <c r="J21" s="18" t="s">
        <v>33</v>
      </c>
      <c r="K21" s="19" t="s">
        <v>34</v>
      </c>
      <c r="L21" s="20" t="s">
        <v>35</v>
      </c>
      <c r="M21" s="23" t="s">
        <v>45</v>
      </c>
      <c r="N21" s="56"/>
      <c r="O21" s="22"/>
      <c r="P21" s="22"/>
    </row>
    <row r="22" spans="1:16" ht="69.75" customHeight="1" x14ac:dyDescent="0.2">
      <c r="A22" s="26" t="s">
        <v>119</v>
      </c>
      <c r="B22" s="26" t="s">
        <v>105</v>
      </c>
      <c r="C22" s="26" t="s">
        <v>120</v>
      </c>
      <c r="D22" s="57" t="s">
        <v>121</v>
      </c>
      <c r="E22" s="57" t="s">
        <v>115</v>
      </c>
      <c r="F22" s="57" t="s">
        <v>122</v>
      </c>
      <c r="G22" s="57" t="s">
        <v>123</v>
      </c>
      <c r="H22" s="57" t="s">
        <v>124</v>
      </c>
      <c r="I22" s="57"/>
      <c r="J22" s="18" t="s">
        <v>33</v>
      </c>
      <c r="K22" s="20" t="s">
        <v>35</v>
      </c>
      <c r="L22" s="20" t="s">
        <v>35</v>
      </c>
      <c r="M22" s="27" t="s">
        <v>125</v>
      </c>
      <c r="N22" s="55"/>
      <c r="O22" s="22"/>
      <c r="P22" s="22"/>
    </row>
    <row r="23" spans="1:16" ht="69" customHeight="1" x14ac:dyDescent="0.2">
      <c r="A23" s="26" t="s">
        <v>126</v>
      </c>
      <c r="B23" s="26" t="s">
        <v>105</v>
      </c>
      <c r="C23" s="26" t="s">
        <v>127</v>
      </c>
      <c r="D23" s="57" t="s">
        <v>128</v>
      </c>
      <c r="E23" s="57" t="s">
        <v>129</v>
      </c>
      <c r="F23" s="57" t="s">
        <v>130</v>
      </c>
      <c r="G23" s="57" t="s">
        <v>131</v>
      </c>
      <c r="H23" s="57" t="s">
        <v>132</v>
      </c>
      <c r="I23" s="57"/>
      <c r="J23" s="18" t="s">
        <v>33</v>
      </c>
      <c r="K23" s="20" t="s">
        <v>35</v>
      </c>
      <c r="L23" s="20" t="s">
        <v>35</v>
      </c>
      <c r="M23" s="27" t="s">
        <v>125</v>
      </c>
      <c r="N23" s="56"/>
      <c r="O23" s="22"/>
      <c r="P23" s="22"/>
    </row>
    <row r="24" spans="1:16" ht="57" customHeight="1" x14ac:dyDescent="0.2">
      <c r="A24" s="26" t="s">
        <v>133</v>
      </c>
      <c r="B24" s="26" t="s">
        <v>105</v>
      </c>
      <c r="C24" s="26" t="s">
        <v>134</v>
      </c>
      <c r="D24" s="57" t="s">
        <v>135</v>
      </c>
      <c r="E24" s="57" t="s">
        <v>115</v>
      </c>
      <c r="F24" s="57" t="s">
        <v>136</v>
      </c>
      <c r="G24" s="57" t="s">
        <v>137</v>
      </c>
      <c r="H24" s="57" t="s">
        <v>138</v>
      </c>
      <c r="I24" s="57"/>
      <c r="J24" s="18" t="s">
        <v>33</v>
      </c>
      <c r="K24" s="19" t="s">
        <v>34</v>
      </c>
      <c r="L24" s="20" t="s">
        <v>35</v>
      </c>
      <c r="M24" s="27" t="s">
        <v>125</v>
      </c>
      <c r="N24" s="55"/>
      <c r="O24" s="22"/>
      <c r="P24" s="22"/>
    </row>
    <row r="25" spans="1:16" ht="70" customHeight="1" x14ac:dyDescent="0.2">
      <c r="A25" s="26" t="s">
        <v>139</v>
      </c>
      <c r="B25" s="26" t="s">
        <v>105</v>
      </c>
      <c r="C25" s="26" t="s">
        <v>140</v>
      </c>
      <c r="D25" s="57" t="s">
        <v>141</v>
      </c>
      <c r="E25" s="57" t="s">
        <v>142</v>
      </c>
      <c r="F25" s="57" t="s">
        <v>143</v>
      </c>
      <c r="G25" s="57" t="s">
        <v>144</v>
      </c>
      <c r="H25" s="57" t="s">
        <v>145</v>
      </c>
      <c r="I25" s="57"/>
      <c r="J25" s="18" t="s">
        <v>33</v>
      </c>
      <c r="K25" s="20" t="s">
        <v>35</v>
      </c>
      <c r="L25" s="20" t="s">
        <v>35</v>
      </c>
      <c r="M25" s="23" t="s">
        <v>45</v>
      </c>
      <c r="N25" s="56"/>
      <c r="O25" s="22"/>
      <c r="P25" s="22"/>
    </row>
    <row r="26" spans="1:16" ht="57" customHeight="1" x14ac:dyDescent="0.2">
      <c r="A26" s="26" t="s">
        <v>148</v>
      </c>
      <c r="B26" s="26" t="s">
        <v>105</v>
      </c>
      <c r="C26" s="26" t="s">
        <v>149</v>
      </c>
      <c r="D26" s="57" t="s">
        <v>150</v>
      </c>
      <c r="E26" s="57" t="s">
        <v>151</v>
      </c>
      <c r="F26" s="57" t="s">
        <v>152</v>
      </c>
      <c r="G26" s="57" t="s">
        <v>153</v>
      </c>
      <c r="H26" s="57" t="s">
        <v>154</v>
      </c>
      <c r="I26" s="57"/>
      <c r="J26" s="18" t="s">
        <v>33</v>
      </c>
      <c r="K26" s="19" t="s">
        <v>34</v>
      </c>
      <c r="L26" s="19" t="s">
        <v>34</v>
      </c>
      <c r="M26" s="27" t="s">
        <v>125</v>
      </c>
      <c r="N26" s="55"/>
      <c r="O26" s="22"/>
      <c r="P26" s="22"/>
    </row>
    <row r="27" spans="1:16" ht="69.75" customHeight="1" x14ac:dyDescent="0.2">
      <c r="A27" s="26" t="s">
        <v>155</v>
      </c>
      <c r="B27" s="28" t="s">
        <v>105</v>
      </c>
      <c r="C27" s="28" t="s">
        <v>156</v>
      </c>
      <c r="D27" s="28" t="s">
        <v>157</v>
      </c>
      <c r="E27" s="57" t="s">
        <v>158</v>
      </c>
      <c r="F27" s="28" t="s">
        <v>159</v>
      </c>
      <c r="G27" s="28" t="s">
        <v>160</v>
      </c>
      <c r="H27" s="28" t="s">
        <v>161</v>
      </c>
      <c r="I27" s="28"/>
      <c r="J27" s="18" t="s">
        <v>33</v>
      </c>
      <c r="K27" s="20" t="s">
        <v>35</v>
      </c>
      <c r="L27" s="20" t="s">
        <v>35</v>
      </c>
      <c r="M27" s="23" t="s">
        <v>45</v>
      </c>
      <c r="N27" s="22"/>
      <c r="O27" s="22"/>
      <c r="P27" s="22"/>
    </row>
    <row r="28" spans="1:16" ht="69.75" customHeight="1" x14ac:dyDescent="0.2">
      <c r="A28" s="26" t="s">
        <v>162</v>
      </c>
      <c r="B28" s="28" t="s">
        <v>105</v>
      </c>
      <c r="C28" s="28" t="s">
        <v>163</v>
      </c>
      <c r="D28" s="28" t="s">
        <v>164</v>
      </c>
      <c r="E28" s="57" t="s">
        <v>158</v>
      </c>
      <c r="F28" s="28" t="s">
        <v>165</v>
      </c>
      <c r="G28" s="28" t="s">
        <v>166</v>
      </c>
      <c r="H28" s="28" t="s">
        <v>167</v>
      </c>
      <c r="I28" s="28"/>
      <c r="J28" s="18" t="s">
        <v>33</v>
      </c>
      <c r="K28" s="20" t="s">
        <v>35</v>
      </c>
      <c r="L28" s="20" t="s">
        <v>35</v>
      </c>
      <c r="M28" s="23" t="s">
        <v>45</v>
      </c>
      <c r="N28" s="22"/>
      <c r="O28" s="22"/>
      <c r="P28" s="22"/>
    </row>
    <row r="29" spans="1:16" ht="87.75" customHeight="1" x14ac:dyDescent="0.2">
      <c r="A29" s="26" t="s">
        <v>168</v>
      </c>
      <c r="B29" s="28" t="s">
        <v>105</v>
      </c>
      <c r="C29" s="28" t="s">
        <v>169</v>
      </c>
      <c r="D29" s="28" t="s">
        <v>170</v>
      </c>
      <c r="E29" s="57" t="s">
        <v>158</v>
      </c>
      <c r="F29" s="28" t="s">
        <v>171</v>
      </c>
      <c r="G29" s="28" t="s">
        <v>172</v>
      </c>
      <c r="H29" s="28" t="s">
        <v>173</v>
      </c>
      <c r="I29" s="28"/>
      <c r="J29" s="18" t="s">
        <v>33</v>
      </c>
      <c r="K29" s="24" t="s">
        <v>59</v>
      </c>
      <c r="L29" s="19" t="s">
        <v>34</v>
      </c>
      <c r="M29" s="23" t="s">
        <v>45</v>
      </c>
      <c r="N29" s="22"/>
      <c r="O29" s="22"/>
      <c r="P29" s="22"/>
    </row>
    <row r="30" spans="1:16" ht="69.75" customHeight="1" x14ac:dyDescent="0.2">
      <c r="A30" s="29" t="s">
        <v>174</v>
      </c>
      <c r="B30" s="30" t="s">
        <v>175</v>
      </c>
      <c r="C30" s="30" t="s">
        <v>176</v>
      </c>
      <c r="D30" s="58" t="s">
        <v>177</v>
      </c>
      <c r="E30" s="58" t="s">
        <v>178</v>
      </c>
      <c r="F30" s="58" t="s">
        <v>179</v>
      </c>
      <c r="G30" s="58" t="s">
        <v>180</v>
      </c>
      <c r="H30" s="58" t="s">
        <v>181</v>
      </c>
      <c r="I30" s="58"/>
      <c r="J30" s="18" t="s">
        <v>33</v>
      </c>
      <c r="K30" s="20" t="s">
        <v>35</v>
      </c>
      <c r="L30" s="20" t="s">
        <v>35</v>
      </c>
      <c r="M30" s="27" t="s">
        <v>125</v>
      </c>
      <c r="N30" s="59"/>
      <c r="O30" s="22"/>
      <c r="P30" s="22"/>
    </row>
    <row r="31" spans="1:16" ht="69.75" customHeight="1" x14ac:dyDescent="0.2">
      <c r="A31" s="29" t="s">
        <v>182</v>
      </c>
      <c r="B31" s="30" t="s">
        <v>175</v>
      </c>
      <c r="C31" s="30" t="s">
        <v>183</v>
      </c>
      <c r="D31" s="58" t="s">
        <v>184</v>
      </c>
      <c r="E31" s="58" t="s">
        <v>178</v>
      </c>
      <c r="F31" s="58" t="s">
        <v>185</v>
      </c>
      <c r="G31" s="58" t="s">
        <v>186</v>
      </c>
      <c r="H31" s="58" t="s">
        <v>187</v>
      </c>
      <c r="I31" s="58"/>
      <c r="J31" s="18" t="s">
        <v>33</v>
      </c>
      <c r="K31" s="20" t="s">
        <v>35</v>
      </c>
      <c r="L31" s="20" t="s">
        <v>35</v>
      </c>
      <c r="M31" s="27" t="s">
        <v>125</v>
      </c>
      <c r="N31" s="59"/>
      <c r="O31" s="22"/>
      <c r="P31" s="22"/>
    </row>
    <row r="32" spans="1:16" ht="69.75" customHeight="1" x14ac:dyDescent="0.2">
      <c r="A32" s="29" t="s">
        <v>188</v>
      </c>
      <c r="B32" s="30" t="s">
        <v>175</v>
      </c>
      <c r="C32" s="30" t="s">
        <v>189</v>
      </c>
      <c r="D32" s="58" t="s">
        <v>190</v>
      </c>
      <c r="E32" s="58" t="s">
        <v>191</v>
      </c>
      <c r="F32" s="58" t="s">
        <v>192</v>
      </c>
      <c r="G32" s="58" t="s">
        <v>193</v>
      </c>
      <c r="H32" s="58" t="s">
        <v>194</v>
      </c>
      <c r="I32" s="58"/>
      <c r="J32" s="18" t="s">
        <v>33</v>
      </c>
      <c r="K32" s="20" t="s">
        <v>35</v>
      </c>
      <c r="L32" s="19" t="s">
        <v>34</v>
      </c>
      <c r="M32" s="31" t="s">
        <v>36</v>
      </c>
      <c r="N32" s="59"/>
      <c r="O32" s="22"/>
      <c r="P32" s="22"/>
    </row>
    <row r="33" spans="1:16" ht="69.75" customHeight="1" x14ac:dyDescent="0.2">
      <c r="A33" s="29" t="s">
        <v>195</v>
      </c>
      <c r="B33" s="30" t="s">
        <v>175</v>
      </c>
      <c r="C33" s="30" t="s">
        <v>196</v>
      </c>
      <c r="D33" s="58" t="s">
        <v>197</v>
      </c>
      <c r="E33" s="58" t="s">
        <v>198</v>
      </c>
      <c r="F33" s="58" t="s">
        <v>199</v>
      </c>
      <c r="G33" s="58" t="s">
        <v>200</v>
      </c>
      <c r="H33" s="58" t="s">
        <v>201</v>
      </c>
      <c r="I33" s="58"/>
      <c r="J33" s="18" t="s">
        <v>33</v>
      </c>
      <c r="K33" s="32" t="s">
        <v>202</v>
      </c>
      <c r="L33" s="20" t="s">
        <v>35</v>
      </c>
      <c r="M33" s="23" t="s">
        <v>45</v>
      </c>
      <c r="N33" s="59"/>
      <c r="O33" s="22"/>
      <c r="P33" s="22"/>
    </row>
    <row r="34" spans="1:16" ht="69.75" customHeight="1" x14ac:dyDescent="0.2">
      <c r="A34" s="29" t="s">
        <v>203</v>
      </c>
      <c r="B34" s="30" t="s">
        <v>175</v>
      </c>
      <c r="C34" s="30" t="s">
        <v>204</v>
      </c>
      <c r="D34" s="58" t="s">
        <v>205</v>
      </c>
      <c r="E34" s="58" t="s">
        <v>206</v>
      </c>
      <c r="F34" s="58" t="s">
        <v>207</v>
      </c>
      <c r="G34" s="58" t="s">
        <v>208</v>
      </c>
      <c r="H34" s="58" t="s">
        <v>209</v>
      </c>
      <c r="I34" s="58"/>
      <c r="J34" s="18" t="s">
        <v>33</v>
      </c>
      <c r="K34" s="20" t="s">
        <v>35</v>
      </c>
      <c r="L34" s="20" t="s">
        <v>35</v>
      </c>
      <c r="M34" s="23" t="s">
        <v>45</v>
      </c>
      <c r="N34" s="59"/>
      <c r="O34" s="22"/>
      <c r="P34" s="22"/>
    </row>
    <row r="35" spans="1:16" ht="69.75" customHeight="1" x14ac:dyDescent="0.2">
      <c r="A35" s="33" t="s">
        <v>210</v>
      </c>
      <c r="B35" s="34" t="s">
        <v>175</v>
      </c>
      <c r="C35" s="34" t="s">
        <v>211</v>
      </c>
      <c r="D35" s="60" t="s">
        <v>212</v>
      </c>
      <c r="E35" s="60" t="s">
        <v>213</v>
      </c>
      <c r="F35" s="60" t="s">
        <v>214</v>
      </c>
      <c r="G35" s="60" t="s">
        <v>215</v>
      </c>
      <c r="H35" s="60" t="s">
        <v>216</v>
      </c>
      <c r="I35" s="60"/>
      <c r="J35" s="18" t="s">
        <v>33</v>
      </c>
      <c r="K35" s="19" t="s">
        <v>34</v>
      </c>
      <c r="L35" s="20" t="s">
        <v>35</v>
      </c>
      <c r="M35" s="31" t="s">
        <v>36</v>
      </c>
      <c r="N35" s="59"/>
      <c r="O35" s="22"/>
      <c r="P35" s="22"/>
    </row>
    <row r="36" spans="1:16" ht="69.75" customHeight="1" x14ac:dyDescent="0.2">
      <c r="A36" s="33" t="s">
        <v>217</v>
      </c>
      <c r="B36" s="34" t="s">
        <v>175</v>
      </c>
      <c r="C36" s="34" t="s">
        <v>218</v>
      </c>
      <c r="D36" s="60" t="s">
        <v>219</v>
      </c>
      <c r="E36" s="60" t="s">
        <v>220</v>
      </c>
      <c r="F36" s="60" t="s">
        <v>221</v>
      </c>
      <c r="G36" s="60" t="s">
        <v>222</v>
      </c>
      <c r="H36" s="60" t="s">
        <v>223</v>
      </c>
      <c r="I36" s="60"/>
      <c r="J36" s="18" t="s">
        <v>33</v>
      </c>
      <c r="K36" s="20" t="s">
        <v>35</v>
      </c>
      <c r="L36" s="20" t="s">
        <v>35</v>
      </c>
      <c r="M36" s="23" t="s">
        <v>45</v>
      </c>
      <c r="N36" s="59"/>
      <c r="O36" s="22"/>
      <c r="P36" s="22"/>
    </row>
    <row r="37" spans="1:16" ht="69.75" customHeight="1" x14ac:dyDescent="0.2">
      <c r="A37" s="33" t="s">
        <v>224</v>
      </c>
      <c r="B37" s="34" t="s">
        <v>175</v>
      </c>
      <c r="C37" s="34" t="s">
        <v>225</v>
      </c>
      <c r="D37" s="60" t="s">
        <v>226</v>
      </c>
      <c r="E37" s="60" t="s">
        <v>213</v>
      </c>
      <c r="F37" s="60" t="s">
        <v>227</v>
      </c>
      <c r="G37" s="60" t="s">
        <v>228</v>
      </c>
      <c r="H37" s="60" t="s">
        <v>181</v>
      </c>
      <c r="I37" s="60"/>
      <c r="J37" s="18" t="s">
        <v>33</v>
      </c>
      <c r="K37" s="20" t="s">
        <v>35</v>
      </c>
      <c r="L37" s="20" t="s">
        <v>35</v>
      </c>
      <c r="M37" s="27" t="s">
        <v>125</v>
      </c>
      <c r="N37" s="59"/>
      <c r="O37" s="22"/>
      <c r="P37" s="22"/>
    </row>
    <row r="38" spans="1:16" ht="69.75" customHeight="1" x14ac:dyDescent="0.2">
      <c r="A38" s="33" t="s">
        <v>229</v>
      </c>
      <c r="B38" s="34" t="s">
        <v>175</v>
      </c>
      <c r="C38" s="34" t="s">
        <v>230</v>
      </c>
      <c r="D38" s="60" t="s">
        <v>231</v>
      </c>
      <c r="E38" s="60" t="s">
        <v>213</v>
      </c>
      <c r="F38" s="60" t="s">
        <v>232</v>
      </c>
      <c r="G38" s="60" t="s">
        <v>233</v>
      </c>
      <c r="H38" s="60" t="s">
        <v>223</v>
      </c>
      <c r="I38" s="60"/>
      <c r="J38" s="18" t="s">
        <v>33</v>
      </c>
      <c r="K38" s="20" t="s">
        <v>35</v>
      </c>
      <c r="L38" s="20" t="s">
        <v>35</v>
      </c>
      <c r="M38" s="27" t="s">
        <v>125</v>
      </c>
      <c r="N38" s="59"/>
      <c r="O38" s="22"/>
      <c r="P38" s="22"/>
    </row>
    <row r="39" spans="1:16" ht="69.75" customHeight="1" x14ac:dyDescent="0.2">
      <c r="A39" s="33" t="s">
        <v>234</v>
      </c>
      <c r="B39" s="34" t="s">
        <v>175</v>
      </c>
      <c r="C39" s="34" t="s">
        <v>235</v>
      </c>
      <c r="D39" s="60" t="s">
        <v>236</v>
      </c>
      <c r="E39" s="60" t="s">
        <v>213</v>
      </c>
      <c r="F39" s="60" t="s">
        <v>237</v>
      </c>
      <c r="G39" s="60" t="s">
        <v>238</v>
      </c>
      <c r="H39" s="60" t="s">
        <v>239</v>
      </c>
      <c r="I39" s="60"/>
      <c r="J39" s="18" t="s">
        <v>33</v>
      </c>
      <c r="K39" s="20" t="s">
        <v>35</v>
      </c>
      <c r="L39" s="20" t="s">
        <v>35</v>
      </c>
      <c r="M39" s="31" t="s">
        <v>36</v>
      </c>
      <c r="N39" s="59"/>
      <c r="O39" s="22"/>
      <c r="P39" s="22"/>
    </row>
    <row r="40" spans="1:16" ht="69.75" customHeight="1" x14ac:dyDescent="0.2">
      <c r="A40" s="33" t="s">
        <v>240</v>
      </c>
      <c r="B40" s="34" t="s">
        <v>175</v>
      </c>
      <c r="C40" s="34" t="s">
        <v>241</v>
      </c>
      <c r="D40" s="60" t="s">
        <v>242</v>
      </c>
      <c r="E40" s="60" t="s">
        <v>243</v>
      </c>
      <c r="F40" s="60" t="s">
        <v>244</v>
      </c>
      <c r="G40" s="60" t="s">
        <v>245</v>
      </c>
      <c r="H40" s="60" t="s">
        <v>246</v>
      </c>
      <c r="I40" s="60"/>
      <c r="J40" s="18" t="s">
        <v>33</v>
      </c>
      <c r="K40" s="32" t="s">
        <v>202</v>
      </c>
      <c r="L40" s="20" t="s">
        <v>35</v>
      </c>
      <c r="M40" s="23" t="s">
        <v>45</v>
      </c>
      <c r="N40" s="59" t="s">
        <v>247</v>
      </c>
      <c r="O40" s="22"/>
      <c r="P40" s="22"/>
    </row>
    <row r="41" spans="1:16" ht="69.75" customHeight="1" x14ac:dyDescent="0.2">
      <c r="A41" s="35" t="s">
        <v>248</v>
      </c>
      <c r="B41" s="35" t="s">
        <v>249</v>
      </c>
      <c r="C41" s="35" t="s">
        <v>250</v>
      </c>
      <c r="D41" s="61" t="s">
        <v>251</v>
      </c>
      <c r="E41" s="61" t="s">
        <v>252</v>
      </c>
      <c r="F41" s="61" t="s">
        <v>253</v>
      </c>
      <c r="G41" s="61" t="s">
        <v>254</v>
      </c>
      <c r="H41" s="61" t="s">
        <v>255</v>
      </c>
      <c r="I41" s="61"/>
      <c r="J41" s="18" t="s">
        <v>33</v>
      </c>
      <c r="K41" s="20" t="s">
        <v>35</v>
      </c>
      <c r="L41" s="20" t="s">
        <v>35</v>
      </c>
      <c r="M41" s="21" t="s">
        <v>36</v>
      </c>
      <c r="N41" s="56"/>
      <c r="O41" s="22"/>
      <c r="P41" s="22"/>
    </row>
    <row r="42" spans="1:16" ht="69.75" customHeight="1" x14ac:dyDescent="0.2">
      <c r="A42" s="35" t="s">
        <v>256</v>
      </c>
      <c r="B42" s="35" t="s">
        <v>249</v>
      </c>
      <c r="C42" s="35" t="s">
        <v>257</v>
      </c>
      <c r="D42" s="61" t="s">
        <v>258</v>
      </c>
      <c r="E42" s="61" t="s">
        <v>259</v>
      </c>
      <c r="F42" s="61" t="s">
        <v>260</v>
      </c>
      <c r="G42" s="61" t="s">
        <v>261</v>
      </c>
      <c r="H42" s="61" t="s">
        <v>262</v>
      </c>
      <c r="I42" s="61"/>
      <c r="J42" s="18" t="s">
        <v>33</v>
      </c>
      <c r="K42" s="19" t="s">
        <v>34</v>
      </c>
      <c r="L42" s="20" t="s">
        <v>35</v>
      </c>
      <c r="M42" s="23" t="s">
        <v>45</v>
      </c>
      <c r="N42" s="55"/>
      <c r="O42" s="22"/>
      <c r="P42" s="22"/>
    </row>
    <row r="43" spans="1:16" ht="69.75" customHeight="1" x14ac:dyDescent="0.2">
      <c r="A43" s="35" t="s">
        <v>263</v>
      </c>
      <c r="B43" s="35" t="s">
        <v>249</v>
      </c>
      <c r="C43" s="35" t="s">
        <v>264</v>
      </c>
      <c r="D43" s="61" t="s">
        <v>265</v>
      </c>
      <c r="E43" s="61" t="s">
        <v>259</v>
      </c>
      <c r="F43" s="61" t="s">
        <v>266</v>
      </c>
      <c r="G43" s="61" t="s">
        <v>267</v>
      </c>
      <c r="H43" s="61" t="s">
        <v>268</v>
      </c>
      <c r="I43" s="61"/>
      <c r="J43" s="18" t="s">
        <v>33</v>
      </c>
      <c r="K43" s="32" t="s">
        <v>202</v>
      </c>
      <c r="L43" s="20" t="s">
        <v>35</v>
      </c>
      <c r="M43" s="36" t="s">
        <v>269</v>
      </c>
      <c r="N43" s="56"/>
      <c r="O43" s="22"/>
      <c r="P43" s="22"/>
    </row>
    <row r="44" spans="1:16" ht="60" customHeight="1" x14ac:dyDescent="0.2">
      <c r="A44" s="35" t="s">
        <v>270</v>
      </c>
      <c r="B44" s="35" t="s">
        <v>249</v>
      </c>
      <c r="C44" s="35" t="s">
        <v>271</v>
      </c>
      <c r="D44" s="61" t="s">
        <v>272</v>
      </c>
      <c r="E44" s="61" t="s">
        <v>273</v>
      </c>
      <c r="F44" s="61" t="s">
        <v>274</v>
      </c>
      <c r="G44" s="61" t="s">
        <v>275</v>
      </c>
      <c r="H44" s="61" t="s">
        <v>276</v>
      </c>
      <c r="I44" s="61"/>
      <c r="J44" s="18" t="s">
        <v>33</v>
      </c>
      <c r="K44" s="19" t="s">
        <v>34</v>
      </c>
      <c r="L44" s="19" t="s">
        <v>34</v>
      </c>
      <c r="M44" s="21" t="s">
        <v>36</v>
      </c>
      <c r="N44" s="55"/>
      <c r="O44" s="22"/>
      <c r="P44" s="22"/>
    </row>
    <row r="45" spans="1:16" ht="49.5" customHeight="1" x14ac:dyDescent="0.2">
      <c r="A45" s="35" t="s">
        <v>277</v>
      </c>
      <c r="B45" s="35" t="s">
        <v>249</v>
      </c>
      <c r="C45" s="35" t="s">
        <v>278</v>
      </c>
      <c r="D45" s="61" t="s">
        <v>279</v>
      </c>
      <c r="E45" s="61" t="s">
        <v>259</v>
      </c>
      <c r="F45" s="61" t="s">
        <v>280</v>
      </c>
      <c r="G45" s="61" t="s">
        <v>281</v>
      </c>
      <c r="H45" s="61" t="s">
        <v>282</v>
      </c>
      <c r="I45" s="61"/>
      <c r="J45" s="18" t="s">
        <v>33</v>
      </c>
      <c r="K45" s="24" t="s">
        <v>59</v>
      </c>
      <c r="L45" s="19" t="s">
        <v>34</v>
      </c>
      <c r="M45" s="23" t="s">
        <v>45</v>
      </c>
      <c r="N45" s="56"/>
      <c r="O45" s="22"/>
      <c r="P45" s="22"/>
    </row>
    <row r="46" spans="1:16" ht="45" customHeight="1" x14ac:dyDescent="0.2">
      <c r="A46" s="35" t="s">
        <v>283</v>
      </c>
      <c r="B46" s="35" t="s">
        <v>249</v>
      </c>
      <c r="C46" s="35" t="s">
        <v>284</v>
      </c>
      <c r="D46" s="61" t="s">
        <v>285</v>
      </c>
      <c r="E46" s="61" t="s">
        <v>259</v>
      </c>
      <c r="F46" s="61" t="s">
        <v>286</v>
      </c>
      <c r="G46" s="61" t="s">
        <v>287</v>
      </c>
      <c r="H46" s="61" t="s">
        <v>288</v>
      </c>
      <c r="I46" s="61"/>
      <c r="J46" s="18" t="s">
        <v>33</v>
      </c>
      <c r="K46" s="19" t="s">
        <v>34</v>
      </c>
      <c r="L46" s="19" t="s">
        <v>34</v>
      </c>
      <c r="M46" s="23" t="s">
        <v>45</v>
      </c>
      <c r="N46" s="55"/>
      <c r="O46" s="22"/>
      <c r="P46" s="22"/>
    </row>
    <row r="47" spans="1:16" ht="69.75" customHeight="1" x14ac:dyDescent="0.2">
      <c r="A47" s="35" t="s">
        <v>289</v>
      </c>
      <c r="B47" s="35" t="s">
        <v>249</v>
      </c>
      <c r="C47" s="35" t="s">
        <v>290</v>
      </c>
      <c r="D47" s="61" t="s">
        <v>291</v>
      </c>
      <c r="E47" s="61" t="s">
        <v>273</v>
      </c>
      <c r="F47" s="61" t="s">
        <v>292</v>
      </c>
      <c r="G47" s="61" t="s">
        <v>293</v>
      </c>
      <c r="H47" s="61" t="s">
        <v>294</v>
      </c>
      <c r="I47" s="61"/>
      <c r="J47" s="18" t="s">
        <v>33</v>
      </c>
      <c r="K47" s="19" t="s">
        <v>34</v>
      </c>
      <c r="L47" s="19" t="s">
        <v>34</v>
      </c>
      <c r="M47" s="23" t="s">
        <v>45</v>
      </c>
      <c r="N47" s="55"/>
      <c r="O47" s="22"/>
      <c r="P47" s="22"/>
    </row>
    <row r="48" spans="1:16" ht="69.75" customHeight="1" x14ac:dyDescent="0.2">
      <c r="A48" s="35" t="s">
        <v>295</v>
      </c>
      <c r="B48" s="35" t="s">
        <v>249</v>
      </c>
      <c r="C48" s="35" t="s">
        <v>296</v>
      </c>
      <c r="D48" s="61" t="s">
        <v>291</v>
      </c>
      <c r="E48" s="61" t="s">
        <v>273</v>
      </c>
      <c r="F48" s="61" t="s">
        <v>297</v>
      </c>
      <c r="G48" s="61" t="s">
        <v>298</v>
      </c>
      <c r="H48" s="61" t="s">
        <v>299</v>
      </c>
      <c r="I48" s="61"/>
      <c r="J48" s="18" t="s">
        <v>33</v>
      </c>
      <c r="K48" s="19" t="s">
        <v>34</v>
      </c>
      <c r="L48" s="19" t="s">
        <v>34</v>
      </c>
      <c r="M48" s="23" t="s">
        <v>45</v>
      </c>
      <c r="N48" s="22"/>
      <c r="O48" s="22"/>
      <c r="P48" s="22"/>
    </row>
    <row r="49" spans="1:16" ht="69.75" customHeight="1" x14ac:dyDescent="0.2">
      <c r="A49" s="35" t="s">
        <v>300</v>
      </c>
      <c r="B49" s="35" t="s">
        <v>249</v>
      </c>
      <c r="C49" s="35" t="s">
        <v>301</v>
      </c>
      <c r="D49" s="61" t="s">
        <v>302</v>
      </c>
      <c r="E49" s="61" t="s">
        <v>303</v>
      </c>
      <c r="F49" s="61" t="s">
        <v>304</v>
      </c>
      <c r="G49" s="61" t="s">
        <v>305</v>
      </c>
      <c r="H49" s="61" t="s">
        <v>306</v>
      </c>
      <c r="I49" s="61"/>
      <c r="J49" s="18" t="s">
        <v>33</v>
      </c>
      <c r="K49" s="20" t="s">
        <v>35</v>
      </c>
      <c r="L49" s="19" t="s">
        <v>34</v>
      </c>
      <c r="M49" s="23" t="s">
        <v>45</v>
      </c>
      <c r="N49" s="22"/>
      <c r="O49" s="22"/>
      <c r="P49" s="22"/>
    </row>
    <row r="50" spans="1:16" ht="69.75" customHeight="1" x14ac:dyDescent="0.2">
      <c r="A50" s="35" t="s">
        <v>307</v>
      </c>
      <c r="B50" s="35" t="s">
        <v>249</v>
      </c>
      <c r="C50" s="35" t="s">
        <v>308</v>
      </c>
      <c r="D50" s="61" t="s">
        <v>309</v>
      </c>
      <c r="E50" s="61" t="s">
        <v>259</v>
      </c>
      <c r="F50" s="61" t="s">
        <v>310</v>
      </c>
      <c r="G50" s="61" t="s">
        <v>311</v>
      </c>
      <c r="H50" s="61" t="s">
        <v>312</v>
      </c>
      <c r="I50" s="61"/>
      <c r="J50" s="18" t="s">
        <v>33</v>
      </c>
      <c r="K50" s="19" t="s">
        <v>34</v>
      </c>
      <c r="L50" s="19" t="s">
        <v>34</v>
      </c>
      <c r="M50" s="23" t="s">
        <v>45</v>
      </c>
      <c r="N50" s="22"/>
      <c r="O50" s="22"/>
      <c r="P50" s="22"/>
    </row>
    <row r="51" spans="1:16" ht="69.75" customHeight="1" x14ac:dyDescent="0.2">
      <c r="A51" s="37" t="s">
        <v>313</v>
      </c>
      <c r="B51" s="37" t="s">
        <v>314</v>
      </c>
      <c r="C51" s="37" t="s">
        <v>436</v>
      </c>
      <c r="D51" s="62" t="s">
        <v>316</v>
      </c>
      <c r="E51" s="62" t="s">
        <v>317</v>
      </c>
      <c r="F51" s="62" t="s">
        <v>318</v>
      </c>
      <c r="G51" s="62" t="s">
        <v>319</v>
      </c>
      <c r="H51" s="62" t="s">
        <v>320</v>
      </c>
      <c r="I51" s="62"/>
      <c r="J51" s="18" t="s">
        <v>33</v>
      </c>
      <c r="K51" s="20" t="s">
        <v>35</v>
      </c>
      <c r="L51" s="20" t="s">
        <v>35</v>
      </c>
      <c r="M51" s="21" t="s">
        <v>36</v>
      </c>
      <c r="N51" s="55"/>
      <c r="O51" s="22"/>
      <c r="P51" s="22"/>
    </row>
    <row r="52" spans="1:16" ht="69.75" customHeight="1" x14ac:dyDescent="0.2">
      <c r="A52" s="37" t="s">
        <v>321</v>
      </c>
      <c r="B52" s="37" t="s">
        <v>314</v>
      </c>
      <c r="C52" s="37" t="s">
        <v>315</v>
      </c>
      <c r="D52" s="62" t="s">
        <v>323</v>
      </c>
      <c r="E52" s="62" t="s">
        <v>324</v>
      </c>
      <c r="F52" s="62" t="s">
        <v>325</v>
      </c>
      <c r="G52" s="62" t="s">
        <v>326</v>
      </c>
      <c r="H52" s="62" t="s">
        <v>327</v>
      </c>
      <c r="I52" s="62"/>
      <c r="J52" s="18" t="s">
        <v>33</v>
      </c>
      <c r="K52" s="20" t="s">
        <v>35</v>
      </c>
      <c r="L52" s="20" t="s">
        <v>35</v>
      </c>
      <c r="M52" s="23" t="s">
        <v>45</v>
      </c>
      <c r="N52" s="56"/>
      <c r="O52" s="22"/>
      <c r="P52" s="22"/>
    </row>
    <row r="53" spans="1:16" ht="69.75" customHeight="1" x14ac:dyDescent="0.2">
      <c r="A53" s="37" t="s">
        <v>328</v>
      </c>
      <c r="B53" s="37" t="s">
        <v>314</v>
      </c>
      <c r="C53" s="37" t="s">
        <v>322</v>
      </c>
      <c r="D53" s="62" t="s">
        <v>330</v>
      </c>
      <c r="E53" s="62" t="s">
        <v>331</v>
      </c>
      <c r="F53" s="62" t="s">
        <v>332</v>
      </c>
      <c r="G53" s="62" t="s">
        <v>333</v>
      </c>
      <c r="H53" s="62" t="s">
        <v>334</v>
      </c>
      <c r="I53" s="62"/>
      <c r="J53" s="18" t="s">
        <v>33</v>
      </c>
      <c r="K53" s="19" t="s">
        <v>34</v>
      </c>
      <c r="L53" s="20" t="s">
        <v>35</v>
      </c>
      <c r="M53" s="21" t="s">
        <v>36</v>
      </c>
      <c r="N53" s="55"/>
      <c r="O53" s="22"/>
      <c r="P53" s="22"/>
    </row>
    <row r="54" spans="1:16" ht="89" customHeight="1" x14ac:dyDescent="0.2">
      <c r="A54" s="37" t="s">
        <v>335</v>
      </c>
      <c r="B54" s="37" t="s">
        <v>314</v>
      </c>
      <c r="C54" s="37" t="s">
        <v>329</v>
      </c>
      <c r="D54" s="62" t="s">
        <v>337</v>
      </c>
      <c r="E54" s="62" t="s">
        <v>331</v>
      </c>
      <c r="F54" s="62" t="s">
        <v>338</v>
      </c>
      <c r="G54" s="62" t="s">
        <v>339</v>
      </c>
      <c r="H54" s="62" t="s">
        <v>340</v>
      </c>
      <c r="I54" s="62" t="s">
        <v>341</v>
      </c>
      <c r="J54" s="18" t="s">
        <v>146</v>
      </c>
      <c r="K54" s="19" t="s">
        <v>34</v>
      </c>
      <c r="L54" s="20" t="s">
        <v>35</v>
      </c>
      <c r="M54" s="21" t="s">
        <v>36</v>
      </c>
      <c r="N54" s="55"/>
      <c r="O54" s="22" t="s">
        <v>147</v>
      </c>
      <c r="P54" s="22" t="s">
        <v>342</v>
      </c>
    </row>
    <row r="55" spans="1:16" ht="86" customHeight="1" x14ac:dyDescent="0.2">
      <c r="A55" s="37" t="s">
        <v>343</v>
      </c>
      <c r="B55" s="37" t="s">
        <v>314</v>
      </c>
      <c r="C55" s="37" t="s">
        <v>336</v>
      </c>
      <c r="D55" s="62" t="s">
        <v>345</v>
      </c>
      <c r="E55" s="62" t="s">
        <v>346</v>
      </c>
      <c r="F55" s="62" t="s">
        <v>347</v>
      </c>
      <c r="G55" s="62" t="s">
        <v>348</v>
      </c>
      <c r="H55" s="62" t="s">
        <v>349</v>
      </c>
      <c r="I55" s="62"/>
      <c r="J55" s="18" t="s">
        <v>33</v>
      </c>
      <c r="K55" s="19" t="s">
        <v>34</v>
      </c>
      <c r="L55" s="20" t="s">
        <v>35</v>
      </c>
      <c r="M55" s="21" t="s">
        <v>36</v>
      </c>
      <c r="N55" s="55"/>
      <c r="O55" s="22"/>
      <c r="P55" s="22"/>
    </row>
    <row r="56" spans="1:16" ht="84" customHeight="1" x14ac:dyDescent="0.2">
      <c r="A56" s="37" t="s">
        <v>350</v>
      </c>
      <c r="B56" s="37" t="s">
        <v>314</v>
      </c>
      <c r="C56" s="37" t="s">
        <v>344</v>
      </c>
      <c r="D56" s="62" t="s">
        <v>351</v>
      </c>
      <c r="E56" s="62" t="s">
        <v>352</v>
      </c>
      <c r="F56" s="62" t="s">
        <v>353</v>
      </c>
      <c r="G56" s="62" t="s">
        <v>354</v>
      </c>
      <c r="H56" s="62" t="s">
        <v>355</v>
      </c>
      <c r="I56" s="62"/>
      <c r="J56" s="18" t="s">
        <v>33</v>
      </c>
      <c r="K56" s="19" t="s">
        <v>34</v>
      </c>
      <c r="L56" s="20" t="s">
        <v>35</v>
      </c>
      <c r="M56" s="21" t="s">
        <v>36</v>
      </c>
      <c r="N56" s="55"/>
      <c r="O56" s="22"/>
      <c r="P56" s="22"/>
    </row>
    <row r="57" spans="1:16" ht="69.75" customHeight="1" x14ac:dyDescent="0.2">
      <c r="A57" s="38" t="s">
        <v>356</v>
      </c>
      <c r="B57" s="38" t="s">
        <v>269</v>
      </c>
      <c r="C57" s="38" t="s">
        <v>357</v>
      </c>
      <c r="D57" s="63" t="s">
        <v>358</v>
      </c>
      <c r="E57" s="63" t="s">
        <v>359</v>
      </c>
      <c r="F57" s="63" t="s">
        <v>360</v>
      </c>
      <c r="G57" s="63" t="s">
        <v>361</v>
      </c>
      <c r="H57" s="63" t="s">
        <v>362</v>
      </c>
      <c r="I57" s="63"/>
      <c r="J57" s="18" t="s">
        <v>33</v>
      </c>
      <c r="K57" s="20" t="s">
        <v>35</v>
      </c>
      <c r="L57" s="20" t="s">
        <v>35</v>
      </c>
      <c r="M57" s="36" t="s">
        <v>269</v>
      </c>
      <c r="N57" s="59" t="s">
        <v>247</v>
      </c>
      <c r="O57" s="22"/>
      <c r="P57" s="22"/>
    </row>
    <row r="58" spans="1:16" ht="63" customHeight="1" x14ac:dyDescent="0.2">
      <c r="A58" s="38" t="s">
        <v>363</v>
      </c>
      <c r="B58" s="38" t="s">
        <v>269</v>
      </c>
      <c r="C58" s="38" t="s">
        <v>364</v>
      </c>
      <c r="D58" s="63" t="s">
        <v>365</v>
      </c>
      <c r="E58" s="63" t="s">
        <v>366</v>
      </c>
      <c r="F58" s="63" t="s">
        <v>367</v>
      </c>
      <c r="G58" s="63" t="s">
        <v>368</v>
      </c>
      <c r="H58" s="63" t="s">
        <v>369</v>
      </c>
      <c r="I58" s="63"/>
      <c r="J58" s="18" t="s">
        <v>33</v>
      </c>
      <c r="K58" s="20" t="s">
        <v>35</v>
      </c>
      <c r="L58" s="20" t="s">
        <v>35</v>
      </c>
      <c r="M58" s="23" t="s">
        <v>45</v>
      </c>
      <c r="N58" s="55"/>
      <c r="O58" s="22"/>
      <c r="P58" s="22"/>
    </row>
    <row r="59" spans="1:16" ht="45" customHeight="1" x14ac:dyDescent="0.2">
      <c r="A59" s="38" t="s">
        <v>370</v>
      </c>
      <c r="B59" s="38" t="s">
        <v>269</v>
      </c>
      <c r="C59" s="38" t="s">
        <v>371</v>
      </c>
      <c r="D59" s="63" t="s">
        <v>372</v>
      </c>
      <c r="E59" s="63" t="s">
        <v>373</v>
      </c>
      <c r="F59" s="63" t="s">
        <v>374</v>
      </c>
      <c r="G59" s="63" t="s">
        <v>375</v>
      </c>
      <c r="H59" s="63" t="s">
        <v>376</v>
      </c>
      <c r="I59" s="63"/>
      <c r="J59" s="18" t="s">
        <v>33</v>
      </c>
      <c r="K59" s="32" t="s">
        <v>202</v>
      </c>
      <c r="L59" s="20" t="s">
        <v>35</v>
      </c>
      <c r="M59" s="36" t="s">
        <v>269</v>
      </c>
      <c r="N59" s="56"/>
      <c r="O59" s="22"/>
      <c r="P59" s="22"/>
    </row>
    <row r="60" spans="1:16" ht="75" customHeight="1" x14ac:dyDescent="0.2">
      <c r="A60" s="38" t="s">
        <v>377</v>
      </c>
      <c r="B60" s="38" t="s">
        <v>269</v>
      </c>
      <c r="C60" s="38" t="s">
        <v>378</v>
      </c>
      <c r="D60" s="63" t="s">
        <v>379</v>
      </c>
      <c r="E60" s="63" t="s">
        <v>380</v>
      </c>
      <c r="F60" s="63" t="s">
        <v>381</v>
      </c>
      <c r="G60" s="63" t="s">
        <v>382</v>
      </c>
      <c r="H60" s="63" t="s">
        <v>383</v>
      </c>
      <c r="I60" s="63"/>
      <c r="J60" s="18" t="s">
        <v>33</v>
      </c>
      <c r="K60" s="20" t="s">
        <v>35</v>
      </c>
      <c r="L60" s="20" t="s">
        <v>35</v>
      </c>
      <c r="M60" s="23" t="s">
        <v>45</v>
      </c>
      <c r="N60" s="55"/>
      <c r="O60" s="22"/>
      <c r="P60" s="22"/>
    </row>
    <row r="61" spans="1:16" ht="75" customHeight="1" x14ac:dyDescent="0.2">
      <c r="A61" s="38" t="s">
        <v>384</v>
      </c>
      <c r="B61" s="38" t="s">
        <v>269</v>
      </c>
      <c r="C61" s="38" t="s">
        <v>385</v>
      </c>
      <c r="D61" s="63" t="s">
        <v>386</v>
      </c>
      <c r="E61" s="63" t="s">
        <v>387</v>
      </c>
      <c r="F61" s="63" t="s">
        <v>388</v>
      </c>
      <c r="G61" s="63" t="s">
        <v>389</v>
      </c>
      <c r="H61" s="63" t="s">
        <v>390</v>
      </c>
      <c r="I61" s="63"/>
      <c r="J61" s="18" t="s">
        <v>33</v>
      </c>
      <c r="K61" s="24" t="s">
        <v>59</v>
      </c>
      <c r="L61" s="24" t="s">
        <v>59</v>
      </c>
      <c r="M61" s="27" t="s">
        <v>125</v>
      </c>
      <c r="N61" s="56"/>
      <c r="O61" s="22"/>
      <c r="P61" s="22"/>
    </row>
    <row r="62" spans="1:16" ht="82" customHeight="1" x14ac:dyDescent="0.2">
      <c r="A62" s="38" t="s">
        <v>391</v>
      </c>
      <c r="B62" s="38" t="s">
        <v>269</v>
      </c>
      <c r="C62" s="38" t="s">
        <v>392</v>
      </c>
      <c r="D62" s="63" t="s">
        <v>393</v>
      </c>
      <c r="E62" s="63" t="s">
        <v>394</v>
      </c>
      <c r="F62" s="63" t="s">
        <v>395</v>
      </c>
      <c r="G62" s="63" t="s">
        <v>396</v>
      </c>
      <c r="H62" s="63" t="s">
        <v>397</v>
      </c>
      <c r="I62" s="63" t="s">
        <v>398</v>
      </c>
      <c r="J62" s="18" t="s">
        <v>146</v>
      </c>
      <c r="K62" s="24" t="s">
        <v>59</v>
      </c>
      <c r="L62" s="24" t="s">
        <v>59</v>
      </c>
      <c r="M62" s="36" t="s">
        <v>269</v>
      </c>
      <c r="N62" s="22"/>
      <c r="O62" s="22" t="s">
        <v>399</v>
      </c>
      <c r="P62" s="22" t="s">
        <v>400</v>
      </c>
    </row>
    <row r="63" spans="1:16" ht="86" customHeight="1" x14ac:dyDescent="0.2">
      <c r="A63" s="38" t="s">
        <v>401</v>
      </c>
      <c r="B63" s="38" t="s">
        <v>269</v>
      </c>
      <c r="C63" s="38" t="s">
        <v>402</v>
      </c>
      <c r="D63" s="63" t="s">
        <v>403</v>
      </c>
      <c r="E63" s="63" t="s">
        <v>404</v>
      </c>
      <c r="F63" s="64" t="s">
        <v>405</v>
      </c>
      <c r="G63" s="64" t="s">
        <v>406</v>
      </c>
      <c r="H63" s="64" t="s">
        <v>407</v>
      </c>
      <c r="I63" s="64"/>
      <c r="J63" s="18" t="s">
        <v>33</v>
      </c>
      <c r="K63" s="24" t="s">
        <v>59</v>
      </c>
      <c r="L63" s="24" t="s">
        <v>59</v>
      </c>
      <c r="M63" s="36" t="s">
        <v>269</v>
      </c>
      <c r="N63" s="22"/>
      <c r="O63" s="22"/>
      <c r="P63" s="22"/>
    </row>
    <row r="64" spans="1:16" ht="57" customHeight="1" x14ac:dyDescent="0.2">
      <c r="A64" s="39" t="s">
        <v>408</v>
      </c>
      <c r="B64" s="40" t="s">
        <v>409</v>
      </c>
      <c r="C64" s="40" t="s">
        <v>410</v>
      </c>
      <c r="D64" s="65" t="s">
        <v>411</v>
      </c>
      <c r="E64" s="65" t="s">
        <v>387</v>
      </c>
      <c r="F64" s="65" t="s">
        <v>412</v>
      </c>
      <c r="G64" s="65" t="s">
        <v>413</v>
      </c>
      <c r="H64" s="65" t="s">
        <v>414</v>
      </c>
      <c r="I64" s="65"/>
      <c r="J64" s="18" t="s">
        <v>33</v>
      </c>
      <c r="K64" s="24" t="s">
        <v>59</v>
      </c>
      <c r="L64" s="24" t="s">
        <v>59</v>
      </c>
      <c r="M64" s="31" t="s">
        <v>36</v>
      </c>
      <c r="N64" s="59"/>
      <c r="O64" s="22"/>
      <c r="P64" s="22"/>
    </row>
    <row r="65" spans="1:16" ht="77" customHeight="1" x14ac:dyDescent="0.2">
      <c r="A65" s="39" t="s">
        <v>415</v>
      </c>
      <c r="B65" s="40" t="s">
        <v>409</v>
      </c>
      <c r="C65" s="40" t="s">
        <v>416</v>
      </c>
      <c r="D65" s="65" t="s">
        <v>417</v>
      </c>
      <c r="E65" s="65" t="s">
        <v>387</v>
      </c>
      <c r="F65" s="65" t="s">
        <v>418</v>
      </c>
      <c r="G65" s="65" t="s">
        <v>419</v>
      </c>
      <c r="H65" s="65" t="s">
        <v>420</v>
      </c>
      <c r="I65" s="65"/>
      <c r="J65" s="18" t="s">
        <v>33</v>
      </c>
      <c r="K65" s="32" t="s">
        <v>202</v>
      </c>
      <c r="L65" s="20" t="s">
        <v>35</v>
      </c>
      <c r="M65" s="41" t="s">
        <v>269</v>
      </c>
      <c r="N65" s="59"/>
      <c r="O65" s="22"/>
      <c r="P65" s="22"/>
    </row>
    <row r="66" spans="1:16" ht="45" customHeight="1" x14ac:dyDescent="0.2">
      <c r="A66" s="39" t="s">
        <v>421</v>
      </c>
      <c r="B66" s="40" t="s">
        <v>409</v>
      </c>
      <c r="C66" s="40" t="s">
        <v>422</v>
      </c>
      <c r="D66" s="65" t="s">
        <v>423</v>
      </c>
      <c r="E66" s="65" t="s">
        <v>387</v>
      </c>
      <c r="F66" s="65" t="s">
        <v>424</v>
      </c>
      <c r="G66" s="65" t="s">
        <v>425</v>
      </c>
      <c r="H66" s="65" t="s">
        <v>426</v>
      </c>
      <c r="I66" s="65"/>
      <c r="J66" s="18" t="s">
        <v>33</v>
      </c>
      <c r="K66" s="24" t="s">
        <v>59</v>
      </c>
      <c r="L66" s="19" t="s">
        <v>34</v>
      </c>
      <c r="M66" s="31" t="s">
        <v>36</v>
      </c>
      <c r="N66" s="59"/>
      <c r="O66" s="22"/>
      <c r="P66" s="22"/>
    </row>
  </sheetData>
  <mergeCells count="2">
    <mergeCell ref="A5:N5"/>
    <mergeCell ref="A6:N6"/>
  </mergeCells>
  <phoneticPr fontId="28"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zoomScaleNormal="100" workbookViewId="0">
      <selection activeCell="D15" sqref="D15"/>
    </sheetView>
  </sheetViews>
  <sheetFormatPr baseColWidth="10" defaultColWidth="8.83203125" defaultRowHeight="15" x14ac:dyDescent="0.2"/>
  <cols>
    <col min="1" max="6" width="18" customWidth="1"/>
  </cols>
  <sheetData>
    <row r="1" spans="1:6" ht="27.75" customHeight="1" x14ac:dyDescent="0.2">
      <c r="A1" s="69" t="s">
        <v>427</v>
      </c>
      <c r="B1" s="69"/>
      <c r="C1" s="69"/>
      <c r="D1" s="69"/>
      <c r="E1" s="69"/>
      <c r="F1" s="69"/>
    </row>
    <row r="2" spans="1:6" ht="27.75" customHeight="1" x14ac:dyDescent="0.2">
      <c r="A2" s="42" t="s">
        <v>10</v>
      </c>
      <c r="B2" s="42" t="s">
        <v>428</v>
      </c>
      <c r="C2" s="42" t="s">
        <v>36</v>
      </c>
      <c r="D2" s="42" t="s">
        <v>45</v>
      </c>
      <c r="E2" s="42" t="s">
        <v>125</v>
      </c>
      <c r="F2" s="42" t="s">
        <v>269</v>
      </c>
    </row>
    <row r="3" spans="1:6" ht="24" customHeight="1" x14ac:dyDescent="0.2">
      <c r="A3" s="43" t="s">
        <v>26</v>
      </c>
      <c r="B3" s="43">
        <f>COUNTIF('Test Cases'!$B$8:$B$66,$A3)</f>
        <v>12</v>
      </c>
      <c r="C3" s="43">
        <f>COUNTIFS('Test Cases'!$B$8:$B$66,$A3,'Test Cases'!$M$8:$M$66,C$2)</f>
        <v>2</v>
      </c>
      <c r="D3" s="43">
        <f>COUNTIFS('Test Cases'!$B$8:$B$66,$A3,'Test Cases'!$M$8:$M$66,D$2)</f>
        <v>10</v>
      </c>
      <c r="E3" s="43">
        <f>COUNTIFS('Test Cases'!$B$8:$B$66,$A3,'Test Cases'!$M$8:$M$66,E$2)</f>
        <v>0</v>
      </c>
      <c r="F3" s="43">
        <f>COUNTIFS('Test Cases'!$B$8:$B$66,$A3,'Test Cases'!$M$8:$M$66,F$2)</f>
        <v>0</v>
      </c>
    </row>
    <row r="4" spans="1:6" ht="24" customHeight="1" x14ac:dyDescent="0.2">
      <c r="A4" s="44" t="s">
        <v>105</v>
      </c>
      <c r="B4" s="44">
        <f>COUNTIF('Test Cases'!$B$8:$B$66,$A4)</f>
        <v>10</v>
      </c>
      <c r="C4" s="44">
        <f>COUNTIFS('Test Cases'!$B$8:$B$66,$A4,'Test Cases'!$M$8:$M$66,C$2)</f>
        <v>1</v>
      </c>
      <c r="D4" s="44">
        <f>COUNTIFS('Test Cases'!$B$8:$B$66,$A4,'Test Cases'!$M$8:$M$66,D$2)</f>
        <v>5</v>
      </c>
      <c r="E4" s="44">
        <f>COUNTIFS('Test Cases'!$B$8:$B$66,$A4,'Test Cases'!$M$8:$M$66,E$2)</f>
        <v>4</v>
      </c>
      <c r="F4" s="44">
        <f>COUNTIFS('Test Cases'!$B$8:$B$66,$A4,'Test Cases'!$M$8:$M$66,F$2)</f>
        <v>0</v>
      </c>
    </row>
    <row r="5" spans="1:6" ht="24" customHeight="1" x14ac:dyDescent="0.2">
      <c r="A5" s="44" t="s">
        <v>175</v>
      </c>
      <c r="B5" s="44">
        <f>COUNTIF('Test Cases'!$B$8:$B$66,$A5)</f>
        <v>11</v>
      </c>
      <c r="C5" s="44">
        <f>COUNTIFS('Test Cases'!$B$8:$B$66,$A5,'Test Cases'!$M$8:$M$66,C$2)</f>
        <v>3</v>
      </c>
      <c r="D5" s="44">
        <f>COUNTIFS('Test Cases'!$B$8:$B$66,$A5,'Test Cases'!$M$8:$M$66,D$2)</f>
        <v>4</v>
      </c>
      <c r="E5" s="44">
        <f>COUNTIFS('Test Cases'!$B$8:$B$66,$A5,'Test Cases'!$M$8:$M$66,E$2)</f>
        <v>4</v>
      </c>
      <c r="F5" s="44">
        <f>COUNTIFS('Test Cases'!$B$8:$B$66,$A5,'Test Cases'!$M$8:$M$66,F$2)</f>
        <v>0</v>
      </c>
    </row>
    <row r="6" spans="1:6" ht="24" customHeight="1" x14ac:dyDescent="0.2">
      <c r="A6" s="43" t="s">
        <v>249</v>
      </c>
      <c r="B6" s="43">
        <f>COUNTIF('Test Cases'!$B$8:$B$66,$A6)</f>
        <v>10</v>
      </c>
      <c r="C6" s="43">
        <f>COUNTIFS('Test Cases'!$B$8:$B$66,$A6,'Test Cases'!$M$8:$M$66,C$2)</f>
        <v>2</v>
      </c>
      <c r="D6" s="43">
        <f>COUNTIFS('Test Cases'!$B$8:$B$66,$A6,'Test Cases'!$M$8:$M$66,D$2)</f>
        <v>7</v>
      </c>
      <c r="E6" s="43">
        <f>COUNTIFS('Test Cases'!$B$8:$B$66,$A6,'Test Cases'!$M$8:$M$66,E$2)</f>
        <v>0</v>
      </c>
      <c r="F6" s="43">
        <f>COUNTIFS('Test Cases'!$B$8:$B$66,$A6,'Test Cases'!$M$8:$M$66,F$2)</f>
        <v>1</v>
      </c>
    </row>
    <row r="7" spans="1:6" ht="24" customHeight="1" x14ac:dyDescent="0.2">
      <c r="A7" s="44" t="s">
        <v>314</v>
      </c>
      <c r="B7" s="44">
        <f>COUNTIF('Test Cases'!$B$8:$B$66,$A7)</f>
        <v>6</v>
      </c>
      <c r="C7" s="44">
        <f>COUNTIFS('Test Cases'!$B$8:$B$66,$A7,'Test Cases'!$M$8:$M$66,C$2)</f>
        <v>5</v>
      </c>
      <c r="D7" s="44">
        <f>COUNTIFS('Test Cases'!$B$8:$B$66,$A7,'Test Cases'!$M$8:$M$66,D$2)</f>
        <v>1</v>
      </c>
      <c r="E7" s="44">
        <f>COUNTIFS('Test Cases'!$B$8:$B$66,$A7,'Test Cases'!$M$8:$M$66,E$2)</f>
        <v>0</v>
      </c>
      <c r="F7" s="44">
        <f>COUNTIFS('Test Cases'!$B$8:$B$66,$A7,'Test Cases'!$M$8:$M$66,F$2)</f>
        <v>0</v>
      </c>
    </row>
    <row r="8" spans="1:6" ht="24" customHeight="1" x14ac:dyDescent="0.2">
      <c r="A8" s="43" t="s">
        <v>269</v>
      </c>
      <c r="B8" s="43">
        <f>COUNTIF('Test Cases'!$B$8:$B$66,$A8)</f>
        <v>7</v>
      </c>
      <c r="C8" s="43">
        <f>COUNTIFS('Test Cases'!$B$8:$B$66,$A8,'Test Cases'!$M$8:$M$66,C$2)</f>
        <v>0</v>
      </c>
      <c r="D8" s="43">
        <f>COUNTIFS('Test Cases'!$B$8:$B$66,$A8,'Test Cases'!$M$8:$M$66,D$2)</f>
        <v>2</v>
      </c>
      <c r="E8" s="43">
        <f>COUNTIFS('Test Cases'!$B$8:$B$66,$A8,'Test Cases'!$M$8:$M$66,E$2)</f>
        <v>1</v>
      </c>
      <c r="F8" s="43">
        <f>COUNTIFS('Test Cases'!$B$8:$B$66,$A8,'Test Cases'!$M$8:$M$66,F$2)</f>
        <v>4</v>
      </c>
    </row>
    <row r="9" spans="1:6" ht="24" customHeight="1" x14ac:dyDescent="0.2">
      <c r="A9" s="43" t="s">
        <v>409</v>
      </c>
      <c r="B9" s="43">
        <f>COUNTIF('Test Cases'!$B$8:$B$66,$A9)</f>
        <v>3</v>
      </c>
      <c r="C9" s="43">
        <f>COUNTIFS('Test Cases'!$B$8:$B$66,$A9,'Test Cases'!$M$8:$M$66,C$2)</f>
        <v>2</v>
      </c>
      <c r="D9" s="43">
        <f>COUNTIFS('Test Cases'!$B$8:$B$66,$A9,'Test Cases'!$M$8:$M$66,D$2)</f>
        <v>0</v>
      </c>
      <c r="E9" s="43">
        <f>COUNTIFS('Test Cases'!$B$8:$B$66,$A9,'Test Cases'!$M$8:$M$66,E$2)</f>
        <v>0</v>
      </c>
      <c r="F9" s="43">
        <f>COUNTIFS('Test Cases'!$B$8:$B$66,$A9,'Test Cases'!$M$8:$M$66,F$2)</f>
        <v>1</v>
      </c>
    </row>
    <row r="10" spans="1:6" ht="25.5" customHeight="1" x14ac:dyDescent="0.2">
      <c r="A10" s="45" t="s">
        <v>429</v>
      </c>
      <c r="B10" s="45">
        <f>SUM(B3:B9)</f>
        <v>59</v>
      </c>
      <c r="C10" s="45">
        <f>SUM(C3:C9)</f>
        <v>15</v>
      </c>
      <c r="D10" s="45">
        <f>SUM(D3:D9)</f>
        <v>29</v>
      </c>
      <c r="E10" s="45">
        <f>SUM(E3:E9)</f>
        <v>9</v>
      </c>
      <c r="F10" s="45">
        <f>SUM(F3:F9)</f>
        <v>6</v>
      </c>
    </row>
    <row r="11" spans="1:6" ht="15" customHeight="1" x14ac:dyDescent="0.2">
      <c r="A11" s="46"/>
      <c r="B11" s="46"/>
      <c r="C11" s="46"/>
      <c r="D11" s="46"/>
      <c r="E11" s="46"/>
      <c r="F11" s="46"/>
    </row>
    <row r="12" spans="1:6" ht="21.75" customHeight="1" x14ac:dyDescent="0.2">
      <c r="A12" s="70" t="s">
        <v>430</v>
      </c>
      <c r="B12" s="70"/>
      <c r="C12" s="70"/>
      <c r="D12" s="70"/>
      <c r="E12" s="70"/>
      <c r="F12" s="70"/>
    </row>
    <row r="13" spans="1:6" ht="21.75" customHeight="1" x14ac:dyDescent="0.2">
      <c r="A13" s="47" t="s">
        <v>146</v>
      </c>
      <c r="B13" s="48" t="s">
        <v>431</v>
      </c>
      <c r="C13" s="49" t="s">
        <v>432</v>
      </c>
      <c r="D13" s="50" t="s">
        <v>433</v>
      </c>
      <c r="E13" s="46"/>
      <c r="F13" s="46"/>
    </row>
    <row r="14" spans="1:6" ht="15" customHeight="1" x14ac:dyDescent="0.2">
      <c r="A14" s="46">
        <v>2</v>
      </c>
      <c r="B14" s="46">
        <v>0</v>
      </c>
      <c r="C14" s="46">
        <v>57</v>
      </c>
      <c r="D14" s="46">
        <v>0</v>
      </c>
      <c r="E14" s="46"/>
      <c r="F14" s="46"/>
    </row>
    <row r="15" spans="1:6" ht="54.75" customHeight="1" x14ac:dyDescent="0.2">
      <c r="A15" s="46"/>
      <c r="B15" s="46"/>
      <c r="C15" s="46"/>
      <c r="D15" s="46"/>
      <c r="E15" s="46"/>
      <c r="F15" s="46"/>
    </row>
    <row r="16" spans="1:6" ht="23.25" customHeight="1" x14ac:dyDescent="0.2">
      <c r="A16" s="51"/>
      <c r="B16" s="51"/>
      <c r="C16" s="51"/>
      <c r="D16" s="51"/>
      <c r="E16" s="46"/>
      <c r="F16" s="46"/>
    </row>
    <row r="17" spans="1:6" ht="15" customHeight="1" x14ac:dyDescent="0.2">
      <c r="A17" s="46"/>
      <c r="B17" s="46"/>
      <c r="C17" s="46"/>
      <c r="D17" s="46"/>
      <c r="E17" s="46"/>
      <c r="F17" s="46"/>
    </row>
    <row r="18" spans="1:6" ht="15" customHeight="1" x14ac:dyDescent="0.2">
      <c r="A18" s="46"/>
      <c r="B18" s="46"/>
      <c r="C18" s="46"/>
      <c r="D18" s="46"/>
      <c r="E18" s="46"/>
      <c r="F18" s="46"/>
    </row>
    <row r="19" spans="1:6" ht="227" customHeight="1" x14ac:dyDescent="0.2">
      <c r="A19" s="46"/>
      <c r="B19" s="46"/>
      <c r="C19" s="46"/>
      <c r="D19" s="46"/>
      <c r="E19" s="46"/>
      <c r="F19" s="46"/>
    </row>
    <row r="20" spans="1:6" ht="15" customHeight="1" x14ac:dyDescent="0.2">
      <c r="A20" s="46"/>
      <c r="B20" s="46"/>
      <c r="C20" s="46"/>
      <c r="D20" s="46"/>
      <c r="E20" s="46"/>
      <c r="F20" s="46"/>
    </row>
    <row r="21" spans="1:6" ht="15" customHeight="1" x14ac:dyDescent="0.2">
      <c r="A21" s="46"/>
      <c r="B21" s="46"/>
      <c r="C21" s="46"/>
      <c r="D21" s="46"/>
      <c r="E21" s="46"/>
      <c r="F21" s="46"/>
    </row>
    <row r="22" spans="1:6" ht="54.75" customHeight="1" x14ac:dyDescent="0.2">
      <c r="A22" s="52" t="s">
        <v>434</v>
      </c>
      <c r="B22" s="46"/>
      <c r="C22" s="46"/>
      <c r="D22" s="46"/>
      <c r="E22" s="46"/>
      <c r="F22" s="46"/>
    </row>
    <row r="23" spans="1:6" ht="15" customHeight="1" x14ac:dyDescent="0.2">
      <c r="A23" s="52" t="s">
        <v>18</v>
      </c>
      <c r="B23" s="52" t="s">
        <v>435</v>
      </c>
      <c r="C23" s="46"/>
      <c r="D23" s="46"/>
      <c r="E23" s="46"/>
      <c r="F23" s="46"/>
    </row>
    <row r="24" spans="1:6" ht="15" customHeight="1" x14ac:dyDescent="0.2">
      <c r="A24" s="46" t="s">
        <v>146</v>
      </c>
      <c r="B24" s="46">
        <f>COUNTIF('Test Cases'!$J$8:$J$66,A24)</f>
        <v>2</v>
      </c>
      <c r="C24" s="46"/>
      <c r="D24" s="46"/>
      <c r="E24" s="46"/>
      <c r="F24" s="46"/>
    </row>
    <row r="25" spans="1:6" ht="15" customHeight="1" x14ac:dyDescent="0.2">
      <c r="A25" s="46" t="s">
        <v>431</v>
      </c>
      <c r="B25" s="46">
        <f>COUNTIF('Test Cases'!$J$8:$J$66,A25)</f>
        <v>0</v>
      </c>
      <c r="C25" s="46"/>
      <c r="D25" s="46"/>
      <c r="E25" s="46"/>
      <c r="F25" s="46"/>
    </row>
    <row r="26" spans="1:6" ht="15" customHeight="1" x14ac:dyDescent="0.2">
      <c r="A26" s="46" t="s">
        <v>33</v>
      </c>
      <c r="B26" s="46">
        <f>COUNTIF('Test Cases'!$J$8:$J$66,A26)</f>
        <v>57</v>
      </c>
      <c r="C26" s="46"/>
      <c r="D26" s="46"/>
      <c r="E26" s="46"/>
      <c r="F26" s="46"/>
    </row>
    <row r="27" spans="1:6" ht="15" customHeight="1" x14ac:dyDescent="0.2">
      <c r="A27" s="46" t="s">
        <v>433</v>
      </c>
      <c r="B27" s="46">
        <f>COUNTIF('Test Cases'!$J$8:$J$66,A27)</f>
        <v>0</v>
      </c>
      <c r="C27" s="46"/>
      <c r="D27" s="46"/>
      <c r="E27" s="46"/>
      <c r="F27" s="46"/>
    </row>
  </sheetData>
  <mergeCells count="2">
    <mergeCell ref="A1:F1"/>
    <mergeCell ref="A12:F12"/>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Test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Thanh Trúc</cp:lastModifiedBy>
  <cp:revision>2</cp:revision>
  <dcterms:created xsi:type="dcterms:W3CDTF">2026-06-17T04:22:31Z</dcterms:created>
  <dcterms:modified xsi:type="dcterms:W3CDTF">2026-07-09T04:24:51Z</dcterms:modified>
  <dc:language>en-US</dc:language>
</cp:coreProperties>
</file>